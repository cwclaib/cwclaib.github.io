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ter Claiborne\Desktop\website\NC-State-Page\football\"/>
    </mc:Choice>
  </mc:AlternateContent>
  <xr:revisionPtr revIDLastSave="0" documentId="13_ncr:1_{22C2534D-FEF8-4D27-A7ED-A63F59CEF643}" xr6:coauthVersionLast="47" xr6:coauthVersionMax="47" xr10:uidLastSave="{00000000-0000-0000-0000-000000000000}"/>
  <bookViews>
    <workbookView xWindow="-108" yWindow="-108" windowWidth="23256" windowHeight="12576" xr2:uid="{FF8CDFD5-DD1C-4983-9A5E-E87077EE153E}"/>
  </bookViews>
  <sheets>
    <sheet name="NC State" sheetId="1" r:id="rId1"/>
    <sheet name="Opp Schedul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137" i="1" l="1"/>
  <c r="D137" i="1"/>
  <c r="E137" i="1"/>
  <c r="F137" i="1"/>
  <c r="G137" i="1"/>
  <c r="C137" i="1"/>
  <c r="B137" i="1"/>
  <c r="AI138" i="1"/>
  <c r="AF138" i="1"/>
  <c r="D138" i="1"/>
  <c r="E138" i="1"/>
  <c r="F138" i="1"/>
  <c r="G138" i="1"/>
  <c r="C138" i="1"/>
  <c r="B138" i="1"/>
  <c r="AO136" i="1"/>
  <c r="AI136" i="1"/>
  <c r="AF136" i="1"/>
  <c r="D136" i="1"/>
  <c r="E136" i="1"/>
  <c r="F136" i="1"/>
  <c r="G136" i="1"/>
  <c r="C136" i="1"/>
  <c r="B136" i="1"/>
  <c r="AF135" i="1"/>
  <c r="C135" i="1"/>
  <c r="D135" i="1"/>
  <c r="E135" i="1"/>
  <c r="F135" i="1"/>
  <c r="G135" i="1"/>
  <c r="B135" i="1"/>
  <c r="AO134" i="1"/>
  <c r="AI134" i="1"/>
  <c r="AF134" i="1"/>
  <c r="C134" i="1"/>
  <c r="D134" i="1"/>
  <c r="E134" i="1"/>
  <c r="F134" i="1"/>
  <c r="G134" i="1"/>
  <c r="B134" i="1"/>
  <c r="AI133" i="1"/>
  <c r="AF133" i="1"/>
  <c r="C133" i="1"/>
  <c r="D133" i="1"/>
  <c r="E133" i="1"/>
  <c r="F133" i="1"/>
  <c r="G133" i="1"/>
  <c r="B133" i="1"/>
  <c r="AI132" i="1"/>
  <c r="AF132" i="1"/>
  <c r="C132" i="1"/>
  <c r="D132" i="1"/>
  <c r="E132" i="1"/>
  <c r="F132" i="1"/>
  <c r="G132" i="1"/>
  <c r="B132" i="1"/>
  <c r="AO131" i="1"/>
  <c r="AI131" i="1"/>
  <c r="AF131" i="1"/>
  <c r="C131" i="1"/>
  <c r="D131" i="1"/>
  <c r="E131" i="1"/>
  <c r="F131" i="1"/>
  <c r="G131" i="1"/>
  <c r="B131" i="1"/>
  <c r="AI130" i="1"/>
  <c r="AF130" i="1"/>
  <c r="C130" i="1"/>
  <c r="D130" i="1"/>
  <c r="E130" i="1"/>
  <c r="F130" i="1"/>
  <c r="G130" i="1"/>
  <c r="B130" i="1"/>
  <c r="AI129" i="1"/>
  <c r="B3" i="1" a="1"/>
  <c r="B10" i="1" a="1"/>
  <c r="B24" i="1" a="1"/>
  <c r="B4" i="1" a="1"/>
  <c r="B7" i="1" a="1"/>
  <c r="B2" i="1" a="1"/>
  <c r="B6" i="1" a="1"/>
  <c r="B5" i="1" a="1"/>
  <c r="B8" i="1" a="1"/>
  <c r="B9" i="1" a="1"/>
  <c r="B2" i="1" l="1"/>
  <c r="B3" i="1"/>
  <c r="B4" i="1"/>
  <c r="B8" i="1"/>
  <c r="B7" i="1"/>
  <c r="B6" i="1"/>
  <c r="B9" i="1"/>
  <c r="B5" i="1"/>
  <c r="B10" i="1"/>
  <c r="B24" i="1"/>
  <c r="B25" i="1" a="1"/>
  <c r="B19" i="1" a="1"/>
  <c r="B23" i="1" a="1"/>
  <c r="B21" i="1" a="1"/>
  <c r="B30" i="1" a="1"/>
  <c r="B15" i="1" a="1"/>
  <c r="B20" i="1" a="1"/>
  <c r="B14" i="1" a="1"/>
  <c r="B27" i="1" a="1"/>
  <c r="B16" i="1" a="1"/>
  <c r="B13" i="1" a="1"/>
  <c r="B17" i="1" a="1"/>
  <c r="B29" i="1" a="1"/>
  <c r="B12" i="1" a="1"/>
  <c r="B18" i="1" a="1"/>
  <c r="B28" i="1" a="1"/>
  <c r="B22" i="1" a="1"/>
  <c r="B20" i="1" l="1"/>
  <c r="B21" i="1"/>
  <c r="B12" i="1"/>
  <c r="B17" i="1"/>
  <c r="B23" i="1"/>
  <c r="B15" i="1"/>
  <c r="B16" i="1"/>
  <c r="B18" i="1"/>
  <c r="B14" i="1"/>
  <c r="B22" i="1"/>
  <c r="B13" i="1"/>
  <c r="B19" i="1"/>
  <c r="B29" i="1"/>
  <c r="B25" i="1"/>
  <c r="B27" i="1"/>
  <c r="B28" i="1"/>
  <c r="B30" i="1"/>
  <c r="C129" i="1"/>
  <c r="D129" i="1"/>
  <c r="E129" i="1"/>
  <c r="F129" i="1"/>
  <c r="G129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AO128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2" i="1"/>
  <c r="AI128" i="1"/>
  <c r="D128" i="1"/>
  <c r="E128" i="1"/>
  <c r="F128" i="1"/>
  <c r="G128" i="1"/>
  <c r="C128" i="1"/>
  <c r="AI127" i="1"/>
  <c r="G127" i="1"/>
  <c r="F127" i="1"/>
  <c r="E127" i="1"/>
  <c r="D127" i="1"/>
  <c r="C127" i="1"/>
  <c r="C126" i="1"/>
  <c r="D126" i="1"/>
  <c r="E126" i="1"/>
  <c r="F126" i="1"/>
  <c r="G126" i="1"/>
  <c r="AI125" i="1"/>
  <c r="D125" i="1"/>
  <c r="E125" i="1"/>
  <c r="F125" i="1"/>
  <c r="G125" i="1"/>
  <c r="C125" i="1"/>
  <c r="AI124" i="1"/>
  <c r="B35" i="1" a="1"/>
  <c r="B36" i="1" a="1"/>
  <c r="B33" i="1" a="1"/>
  <c r="B32" i="1" a="1"/>
  <c r="B38" i="1" a="1"/>
  <c r="B37" i="1" a="1"/>
  <c r="B42" i="1" a="1"/>
  <c r="B39" i="1" a="1"/>
  <c r="B34" i="1" a="1"/>
  <c r="B40" i="1" a="1"/>
  <c r="B43" i="1" a="1"/>
  <c r="B41" i="1" a="1"/>
  <c r="B35" i="1" l="1"/>
  <c r="B34" i="1"/>
  <c r="B37" i="1"/>
  <c r="B33" i="1"/>
  <c r="B36" i="1"/>
  <c r="B32" i="1"/>
  <c r="B40" i="1"/>
  <c r="B39" i="1"/>
  <c r="B42" i="1"/>
  <c r="B38" i="1"/>
  <c r="B41" i="1"/>
  <c r="B43" i="1"/>
  <c r="D124" i="1"/>
  <c r="E124" i="1"/>
  <c r="F124" i="1"/>
  <c r="G124" i="1"/>
  <c r="C124" i="1"/>
  <c r="C123" i="1"/>
  <c r="D123" i="1"/>
  <c r="E123" i="1"/>
  <c r="F123" i="1"/>
  <c r="G123" i="1"/>
  <c r="AI122" i="1"/>
  <c r="C122" i="1"/>
  <c r="D122" i="1"/>
  <c r="E122" i="1"/>
  <c r="F122" i="1"/>
  <c r="G122" i="1"/>
  <c r="M6" i="1"/>
  <c r="M2" i="1"/>
  <c r="AI121" i="1"/>
  <c r="C121" i="1"/>
  <c r="D121" i="1"/>
  <c r="E121" i="1"/>
  <c r="F121" i="1"/>
  <c r="G121" i="1"/>
  <c r="AI120" i="1"/>
  <c r="C120" i="1"/>
  <c r="D120" i="1"/>
  <c r="E120" i="1"/>
  <c r="F120" i="1"/>
  <c r="G120" i="1"/>
  <c r="AO119" i="1"/>
  <c r="AI115" i="1"/>
  <c r="AI116" i="1"/>
  <c r="AI117" i="1"/>
  <c r="AI118" i="1"/>
  <c r="AI119" i="1"/>
  <c r="AI114" i="1"/>
  <c r="AI112" i="1"/>
  <c r="G119" i="1"/>
  <c r="F119" i="1"/>
  <c r="E119" i="1"/>
  <c r="D119" i="1"/>
  <c r="G118" i="1"/>
  <c r="F118" i="1"/>
  <c r="E118" i="1"/>
  <c r="D118" i="1"/>
  <c r="G117" i="1"/>
  <c r="F117" i="1"/>
  <c r="E117" i="1"/>
  <c r="D117" i="1"/>
  <c r="G116" i="1"/>
  <c r="F116" i="1"/>
  <c r="E116" i="1"/>
  <c r="D116" i="1"/>
  <c r="G115" i="1"/>
  <c r="F115" i="1"/>
  <c r="E115" i="1"/>
  <c r="D115" i="1"/>
  <c r="G114" i="1"/>
  <c r="F114" i="1"/>
  <c r="E114" i="1"/>
  <c r="D114" i="1"/>
  <c r="G113" i="1"/>
  <c r="F113" i="1"/>
  <c r="E113" i="1"/>
  <c r="D113" i="1"/>
  <c r="G112" i="1"/>
  <c r="F112" i="1"/>
  <c r="E112" i="1"/>
  <c r="D112" i="1"/>
  <c r="C112" i="1"/>
  <c r="C113" i="1"/>
  <c r="C114" i="1"/>
  <c r="C115" i="1"/>
  <c r="C116" i="1"/>
  <c r="C117" i="1"/>
  <c r="C118" i="1"/>
  <c r="C119" i="1"/>
  <c r="G111" i="1" l="1"/>
  <c r="F111" i="1"/>
  <c r="E111" i="1"/>
  <c r="D111" i="1"/>
  <c r="C111" i="1"/>
  <c r="G110" i="1"/>
  <c r="F110" i="1"/>
  <c r="E110" i="1"/>
  <c r="D110" i="1"/>
  <c r="C110" i="1"/>
  <c r="AI111" i="1" l="1"/>
  <c r="G109" i="1" l="1"/>
  <c r="F109" i="1"/>
  <c r="E109" i="1"/>
  <c r="D109" i="1"/>
  <c r="C109" i="1"/>
  <c r="C108" i="1" l="1"/>
  <c r="D108" i="1"/>
  <c r="E108" i="1"/>
  <c r="F108" i="1"/>
  <c r="G108" i="1"/>
  <c r="AO107" i="1"/>
  <c r="AI107" i="1" l="1"/>
  <c r="C107" i="1"/>
  <c r="D107" i="1"/>
  <c r="E107" i="1"/>
  <c r="F107" i="1"/>
  <c r="G107" i="1"/>
  <c r="AI106" i="1" l="1"/>
  <c r="C106" i="1" l="1"/>
  <c r="D106" i="1"/>
  <c r="E106" i="1"/>
  <c r="F106" i="1"/>
  <c r="G106" i="1"/>
  <c r="AI105" i="1" l="1"/>
  <c r="C105" i="1"/>
  <c r="D105" i="1"/>
  <c r="E105" i="1"/>
  <c r="F105" i="1"/>
  <c r="G105" i="1"/>
  <c r="AI104" i="1" l="1"/>
  <c r="G104" i="1"/>
  <c r="F104" i="1"/>
  <c r="E104" i="1"/>
  <c r="D104" i="1"/>
  <c r="C104" i="1"/>
  <c r="AI103" i="1" l="1"/>
  <c r="G103" i="1"/>
  <c r="F103" i="1"/>
  <c r="E103" i="1"/>
  <c r="D103" i="1"/>
  <c r="C103" i="1"/>
  <c r="AI31" i="1" l="1"/>
  <c r="AI26" i="1"/>
  <c r="E97" i="1" l="1"/>
  <c r="E98" i="1"/>
  <c r="E99" i="1"/>
  <c r="E100" i="1"/>
  <c r="E101" i="1"/>
  <c r="E102" i="1"/>
  <c r="E96" i="1"/>
  <c r="E95" i="1"/>
  <c r="E94" i="1"/>
  <c r="E93" i="1"/>
  <c r="E92" i="1"/>
  <c r="E91" i="1"/>
  <c r="E90" i="1"/>
  <c r="E89" i="1"/>
  <c r="E87" i="1"/>
  <c r="E86" i="1"/>
  <c r="E88" i="1"/>
  <c r="E83" i="1"/>
  <c r="E84" i="1"/>
  <c r="E85" i="1"/>
  <c r="E82" i="1"/>
  <c r="E81" i="1"/>
  <c r="E28" i="1" a="1"/>
  <c r="E26" i="1" a="1"/>
  <c r="C3" i="1" a="1"/>
  <c r="E4" i="1" a="1"/>
  <c r="E32" i="1" a="1"/>
  <c r="E12" i="1" a="1"/>
  <c r="E27" i="1" a="1"/>
  <c r="C4" i="1" a="1"/>
  <c r="C4" i="1" l="1"/>
  <c r="C3" i="1"/>
  <c r="E12" i="1"/>
  <c r="E27" i="1"/>
  <c r="E4" i="1"/>
  <c r="E32" i="1"/>
  <c r="E28" i="1"/>
  <c r="E26" i="1"/>
  <c r="G98" i="1"/>
  <c r="G99" i="1"/>
  <c r="G100" i="1"/>
  <c r="G101" i="1"/>
  <c r="G102" i="1"/>
  <c r="G95" i="1"/>
  <c r="G93" i="1"/>
  <c r="G91" i="1"/>
  <c r="G90" i="1"/>
  <c r="G87" i="1"/>
  <c r="G84" i="1"/>
  <c r="G81" i="1"/>
  <c r="G80" i="1"/>
  <c r="G73" i="1"/>
  <c r="G74" i="1"/>
  <c r="G75" i="1"/>
  <c r="G76" i="1"/>
  <c r="G77" i="1"/>
  <c r="G78" i="1"/>
  <c r="G79" i="1"/>
  <c r="G82" i="1"/>
  <c r="G83" i="1"/>
  <c r="G85" i="1"/>
  <c r="G86" i="1"/>
  <c r="G88" i="1"/>
  <c r="G89" i="1"/>
  <c r="G92" i="1"/>
  <c r="G94" i="1"/>
  <c r="G96" i="1"/>
  <c r="G97" i="1"/>
  <c r="G71" i="1"/>
  <c r="G65" i="1"/>
  <c r="G66" i="1"/>
  <c r="G67" i="1"/>
  <c r="G68" i="1"/>
  <c r="G69" i="1"/>
  <c r="G70" i="1"/>
  <c r="G72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1" i="1" a="1"/>
  <c r="G38" i="1" a="1"/>
  <c r="G22" i="1" a="1"/>
  <c r="G33" i="1" a="1"/>
  <c r="G31" i="1" a="1"/>
  <c r="G19" i="1" a="1"/>
  <c r="G23" i="1" a="1"/>
  <c r="G37" i="1" a="1"/>
  <c r="G39" i="1" a="1"/>
  <c r="G26" i="1" a="1"/>
  <c r="C16" i="1" a="1"/>
  <c r="G34" i="1" a="1"/>
  <c r="G27" i="1" a="1"/>
  <c r="G29" i="1" a="1"/>
  <c r="G28" i="1" a="1"/>
  <c r="G18" i="1" a="1"/>
  <c r="G43" i="1" a="1"/>
  <c r="G15" i="1" a="1"/>
  <c r="G24" i="1" a="1"/>
  <c r="G46" i="1" a="1"/>
  <c r="G40" i="1" a="1"/>
  <c r="G32" i="1" a="1"/>
  <c r="G45" i="1" a="1"/>
  <c r="G25" i="1" a="1"/>
  <c r="G21" i="1" a="1"/>
  <c r="G30" i="1" a="1"/>
  <c r="G36" i="1" a="1"/>
  <c r="G42" i="1" a="1"/>
  <c r="G35" i="1" a="1"/>
  <c r="G44" i="1" a="1"/>
  <c r="G46" i="1" l="1"/>
  <c r="G45" i="1"/>
  <c r="G42" i="1"/>
  <c r="G44" i="1"/>
  <c r="G43" i="1"/>
  <c r="G40" i="1"/>
  <c r="G41" i="1"/>
  <c r="G38" i="1"/>
  <c r="G39" i="1"/>
  <c r="G37" i="1"/>
  <c r="G36" i="1"/>
  <c r="G35" i="1"/>
  <c r="G34" i="1"/>
  <c r="G32" i="1"/>
  <c r="G30" i="1"/>
  <c r="G28" i="1"/>
  <c r="G27" i="1"/>
  <c r="G31" i="1"/>
  <c r="G24" i="1"/>
  <c r="G23" i="1"/>
  <c r="G22" i="1"/>
  <c r="G26" i="1"/>
  <c r="G33" i="1"/>
  <c r="G29" i="1"/>
  <c r="G25" i="1"/>
  <c r="G21" i="1"/>
  <c r="G19" i="1"/>
  <c r="G18" i="1"/>
  <c r="C16" i="1"/>
  <c r="G15" i="1"/>
  <c r="G20" i="1" a="1"/>
  <c r="G17" i="1" a="1"/>
  <c r="E15" i="1" a="1"/>
  <c r="G14" i="1" a="1"/>
  <c r="F15" i="1" a="1"/>
  <c r="C14" i="1" a="1"/>
  <c r="C15" i="1" a="1"/>
  <c r="D15" i="1" a="1"/>
  <c r="G16" i="1" a="1"/>
  <c r="F15" i="1" l="1"/>
  <c r="E15" i="1"/>
  <c r="D15" i="1"/>
  <c r="C15" i="1"/>
  <c r="C14" i="1"/>
  <c r="G14" i="1"/>
  <c r="G20" i="1"/>
  <c r="G17" i="1"/>
  <c r="G16" i="1"/>
  <c r="G12" i="1" a="1"/>
  <c r="G13" i="1" a="1"/>
  <c r="G13" i="1" l="1"/>
  <c r="G12" i="1"/>
  <c r="G8" i="1" a="1"/>
  <c r="G4" i="1" a="1"/>
  <c r="G5" i="1" a="1"/>
  <c r="G6" i="1" a="1"/>
  <c r="G10" i="1" a="1"/>
  <c r="G9" i="1" a="1"/>
  <c r="G11" i="1" a="1"/>
  <c r="G6" i="1" l="1"/>
  <c r="G8" i="1"/>
  <c r="G11" i="1"/>
  <c r="G10" i="1"/>
  <c r="G9" i="1"/>
  <c r="G5" i="1"/>
  <c r="G4" i="1"/>
  <c r="F97" i="1"/>
  <c r="F98" i="1"/>
  <c r="F99" i="1"/>
  <c r="F100" i="1"/>
  <c r="F101" i="1"/>
  <c r="F102" i="1"/>
  <c r="F95" i="1"/>
  <c r="F89" i="1"/>
  <c r="F93" i="1"/>
  <c r="F92" i="1"/>
  <c r="F91" i="1"/>
  <c r="F90" i="1"/>
  <c r="F94" i="1"/>
  <c r="F96" i="1"/>
  <c r="F87" i="1"/>
  <c r="F86" i="1"/>
  <c r="F88" i="1"/>
  <c r="F84" i="1"/>
  <c r="F83" i="1"/>
  <c r="F85" i="1"/>
  <c r="F81" i="1"/>
  <c r="F80" i="1"/>
  <c r="F73" i="1"/>
  <c r="F74" i="1"/>
  <c r="F75" i="1"/>
  <c r="F76" i="1"/>
  <c r="F77" i="1"/>
  <c r="F78" i="1"/>
  <c r="F79" i="1"/>
  <c r="F82" i="1"/>
  <c r="F71" i="1"/>
  <c r="F65" i="1"/>
  <c r="F66" i="1"/>
  <c r="F67" i="1"/>
  <c r="F68" i="1"/>
  <c r="F69" i="1"/>
  <c r="F70" i="1"/>
  <c r="F72" i="1"/>
  <c r="F63" i="1"/>
  <c r="F56" i="1"/>
  <c r="F57" i="1"/>
  <c r="F58" i="1"/>
  <c r="F59" i="1"/>
  <c r="F60" i="1"/>
  <c r="F61" i="1"/>
  <c r="F62" i="1"/>
  <c r="F64" i="1"/>
  <c r="F53" i="1"/>
  <c r="F48" i="1"/>
  <c r="F49" i="1"/>
  <c r="F50" i="1"/>
  <c r="F51" i="1"/>
  <c r="F52" i="1"/>
  <c r="F54" i="1"/>
  <c r="F55" i="1"/>
  <c r="F47" i="1"/>
  <c r="F32" i="1" a="1"/>
  <c r="F21" i="1" a="1"/>
  <c r="F42" i="1" a="1"/>
  <c r="F33" i="1" a="1"/>
  <c r="F20" i="1" a="1"/>
  <c r="F22" i="1" a="1"/>
  <c r="F26" i="1" a="1"/>
  <c r="F39" i="1" a="1"/>
  <c r="F18" i="1" a="1"/>
  <c r="F44" i="1" a="1"/>
  <c r="F30" i="1" a="1"/>
  <c r="F29" i="1" a="1"/>
  <c r="F35" i="1" a="1"/>
  <c r="F25" i="1" a="1"/>
  <c r="G3" i="1" a="1"/>
  <c r="G7" i="1" a="1"/>
  <c r="F19" i="1" a="1"/>
  <c r="F45" i="1" a="1"/>
  <c r="F27" i="1" a="1"/>
  <c r="F14" i="1" a="1"/>
  <c r="F24" i="1" a="1"/>
  <c r="F16" i="1" a="1"/>
  <c r="F23" i="1" a="1"/>
  <c r="F40" i="1" a="1"/>
  <c r="F34" i="1" a="1"/>
  <c r="F31" i="1" a="1"/>
  <c r="F28" i="1" a="1"/>
  <c r="F37" i="1" a="1"/>
  <c r="F12" i="1" a="1"/>
  <c r="F41" i="1" a="1"/>
  <c r="F38" i="1" a="1"/>
  <c r="F43" i="1" a="1"/>
  <c r="F13" i="1" a="1"/>
  <c r="F46" i="1" a="1"/>
  <c r="F17" i="1" a="1"/>
  <c r="F36" i="1" a="1"/>
  <c r="G7" i="1" l="1"/>
  <c r="G3" i="1"/>
  <c r="F46" i="1"/>
  <c r="F45" i="1"/>
  <c r="F41" i="1"/>
  <c r="F42" i="1"/>
  <c r="F44" i="1"/>
  <c r="F43" i="1"/>
  <c r="F40" i="1"/>
  <c r="F38" i="1"/>
  <c r="F37" i="1"/>
  <c r="F39" i="1"/>
  <c r="F36" i="1"/>
  <c r="F32" i="1"/>
  <c r="F35" i="1"/>
  <c r="F33" i="1"/>
  <c r="F34" i="1"/>
  <c r="F30" i="1"/>
  <c r="F29" i="1"/>
  <c r="F31" i="1"/>
  <c r="F28" i="1"/>
  <c r="F27" i="1"/>
  <c r="F26" i="1"/>
  <c r="F24" i="1"/>
  <c r="F22" i="1"/>
  <c r="F25" i="1"/>
  <c r="F23" i="1"/>
  <c r="F21" i="1"/>
  <c r="F19" i="1"/>
  <c r="F18" i="1"/>
  <c r="F17" i="1"/>
  <c r="F20" i="1"/>
  <c r="F14" i="1"/>
  <c r="F13" i="1"/>
  <c r="F12" i="1"/>
  <c r="F16" i="1"/>
  <c r="E80" i="1"/>
  <c r="E79" i="1"/>
  <c r="E73" i="1"/>
  <c r="E74" i="1"/>
  <c r="E75" i="1"/>
  <c r="E76" i="1"/>
  <c r="E77" i="1"/>
  <c r="E78" i="1"/>
  <c r="E71" i="1"/>
  <c r="E72" i="1"/>
  <c r="E70" i="1"/>
  <c r="E65" i="1"/>
  <c r="E66" i="1"/>
  <c r="E67" i="1"/>
  <c r="E68" i="1"/>
  <c r="E69" i="1"/>
  <c r="E64" i="1"/>
  <c r="E63" i="1"/>
  <c r="E62" i="1"/>
  <c r="E56" i="1"/>
  <c r="E57" i="1"/>
  <c r="E58" i="1"/>
  <c r="E59" i="1"/>
  <c r="E60" i="1"/>
  <c r="E61" i="1"/>
  <c r="E55" i="1"/>
  <c r="E54" i="1"/>
  <c r="E53" i="1"/>
  <c r="E52" i="1"/>
  <c r="E50" i="1"/>
  <c r="E51" i="1"/>
  <c r="E49" i="1"/>
  <c r="E48" i="1"/>
  <c r="E47" i="1"/>
  <c r="F4" i="1" a="1"/>
  <c r="F9" i="1" a="1"/>
  <c r="D30" i="1" a="1"/>
  <c r="E9" i="1" a="1"/>
  <c r="E35" i="1" a="1"/>
  <c r="E41" i="1" a="1"/>
  <c r="E18" i="1" a="1"/>
  <c r="F7" i="1" a="1"/>
  <c r="E20" i="1" a="1"/>
  <c r="E14" i="1" a="1"/>
  <c r="E33" i="1" a="1"/>
  <c r="E44" i="1" a="1"/>
  <c r="E19" i="1" a="1"/>
  <c r="E16" i="1" a="1"/>
  <c r="E13" i="1" a="1"/>
  <c r="E3" i="1" a="1"/>
  <c r="F5" i="1" a="1"/>
  <c r="E22" i="1" a="1"/>
  <c r="D18" i="1" a="1"/>
  <c r="E24" i="1" a="1"/>
  <c r="F11" i="1" a="1"/>
  <c r="E8" i="1" a="1"/>
  <c r="E38" i="1" a="1"/>
  <c r="F8" i="1" a="1"/>
  <c r="E6" i="1" a="1"/>
  <c r="E34" i="1" a="1"/>
  <c r="E40" i="1" a="1"/>
  <c r="E43" i="1" a="1"/>
  <c r="E11" i="1" a="1"/>
  <c r="E17" i="1" a="1"/>
  <c r="E25" i="1" a="1"/>
  <c r="D19" i="1" a="1"/>
  <c r="E5" i="1" a="1"/>
  <c r="E31" i="1" a="1"/>
  <c r="E21" i="1" a="1"/>
  <c r="D29" i="1" a="1"/>
  <c r="E42" i="1" a="1"/>
  <c r="F6" i="1" a="1"/>
  <c r="F10" i="1" a="1"/>
  <c r="E36" i="1" a="1"/>
  <c r="F3" i="1" a="1"/>
  <c r="E39" i="1" a="1"/>
  <c r="E37" i="1" a="1"/>
  <c r="E46" i="1" a="1"/>
  <c r="E10" i="1" a="1"/>
  <c r="E23" i="1" a="1"/>
  <c r="E45" i="1" a="1"/>
  <c r="E7" i="1" a="1"/>
  <c r="E30" i="1" a="1"/>
  <c r="E29" i="1" a="1"/>
  <c r="F8" i="1" l="1"/>
  <c r="F10" i="1"/>
  <c r="F11" i="1"/>
  <c r="F9" i="1"/>
  <c r="F5" i="1"/>
  <c r="F6" i="1"/>
  <c r="F4" i="1"/>
  <c r="F7" i="1"/>
  <c r="F3" i="1"/>
  <c r="E3" i="1"/>
  <c r="E46" i="1"/>
  <c r="E45" i="1"/>
  <c r="E44" i="1"/>
  <c r="E40" i="1"/>
  <c r="E42" i="1"/>
  <c r="E39" i="1"/>
  <c r="E37" i="1"/>
  <c r="E38" i="1"/>
  <c r="E41" i="1"/>
  <c r="E43" i="1"/>
  <c r="E36" i="1"/>
  <c r="E34" i="1"/>
  <c r="E35" i="1"/>
  <c r="E33" i="1"/>
  <c r="E31" i="1"/>
  <c r="D19" i="1"/>
  <c r="E19" i="1"/>
  <c r="D30" i="1"/>
  <c r="E30" i="1"/>
  <c r="D29" i="1"/>
  <c r="E29" i="1"/>
  <c r="E24" i="1"/>
  <c r="E25" i="1"/>
  <c r="E23" i="1"/>
  <c r="E22" i="1"/>
  <c r="E21" i="1"/>
  <c r="E20" i="1"/>
  <c r="D18" i="1"/>
  <c r="E18" i="1"/>
  <c r="E17" i="1"/>
  <c r="E16" i="1"/>
  <c r="E14" i="1"/>
  <c r="E10" i="1"/>
  <c r="E13" i="1"/>
  <c r="E11" i="1"/>
  <c r="E9" i="1"/>
  <c r="E8" i="1"/>
  <c r="E7" i="1"/>
  <c r="E6" i="1"/>
  <c r="E5" i="1"/>
  <c r="D93" i="1"/>
  <c r="D91" i="1"/>
  <c r="D90" i="1"/>
  <c r="D80" i="1"/>
  <c r="D87" i="1"/>
  <c r="D95" i="1"/>
  <c r="D84" i="1"/>
  <c r="D81" i="1"/>
  <c r="D71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45" i="1"/>
  <c r="D63" i="1"/>
  <c r="D53" i="1"/>
  <c r="C38" i="1" a="1"/>
  <c r="C35" i="1" a="1"/>
  <c r="C41" i="1" a="1"/>
  <c r="C17" i="1" a="1"/>
  <c r="C37" i="1" a="1"/>
  <c r="C28" i="1" a="1"/>
  <c r="C7" i="1" a="1"/>
  <c r="D46" i="1" a="1"/>
  <c r="C19" i="1" a="1"/>
  <c r="C27" i="1" a="1"/>
  <c r="C32" i="1" a="1"/>
  <c r="D20" i="1" a="1"/>
  <c r="D13" i="1" a="1"/>
  <c r="C22" i="1" a="1"/>
  <c r="C9" i="1" a="1"/>
  <c r="C13" i="1" a="1"/>
  <c r="C25" i="1" a="1"/>
  <c r="C23" i="1" a="1"/>
  <c r="C10" i="1" a="1"/>
  <c r="C31" i="1" a="1"/>
  <c r="C29" i="1" a="1"/>
  <c r="C11" i="1" a="1"/>
  <c r="C21" i="1" a="1"/>
  <c r="D32" i="1" a="1"/>
  <c r="C40" i="1" a="1"/>
  <c r="D40" i="1" a="1"/>
  <c r="C8" i="1" a="1"/>
  <c r="C39" i="1" a="1"/>
  <c r="C33" i="1" a="1"/>
  <c r="C30" i="1" a="1"/>
  <c r="C43" i="1" a="1"/>
  <c r="C26" i="1" a="1"/>
  <c r="D28" i="1" a="1"/>
  <c r="D45" i="1" a="1"/>
  <c r="C20" i="1" a="1"/>
  <c r="C6" i="1" a="1"/>
  <c r="C12" i="1" a="1"/>
  <c r="C18" i="1" a="1"/>
  <c r="C42" i="1" a="1"/>
  <c r="C24" i="1" a="1"/>
  <c r="C44" i="1" a="1"/>
  <c r="C36" i="1" a="1"/>
  <c r="C5" i="1" a="1"/>
  <c r="C34" i="1" a="1"/>
  <c r="D32" i="1" l="1"/>
  <c r="D28" i="1"/>
  <c r="D45" i="1"/>
  <c r="C44" i="1"/>
  <c r="C40" i="1"/>
  <c r="C36" i="1"/>
  <c r="C32" i="1"/>
  <c r="C28" i="1"/>
  <c r="C24" i="1"/>
  <c r="C20" i="1"/>
  <c r="C7" i="1"/>
  <c r="C11" i="1"/>
  <c r="C43" i="1"/>
  <c r="C39" i="1"/>
  <c r="C31" i="1"/>
  <c r="C19" i="1"/>
  <c r="C6" i="1"/>
  <c r="C35" i="1"/>
  <c r="C27" i="1"/>
  <c r="C23" i="1"/>
  <c r="C10" i="1"/>
  <c r="C42" i="1"/>
  <c r="C30" i="1"/>
  <c r="C18" i="1"/>
  <c r="C5" i="1"/>
  <c r="C38" i="1"/>
  <c r="C34" i="1"/>
  <c r="C26" i="1"/>
  <c r="C22" i="1"/>
  <c r="C13" i="1"/>
  <c r="C9" i="1"/>
  <c r="C41" i="1"/>
  <c r="C37" i="1"/>
  <c r="C33" i="1"/>
  <c r="C29" i="1"/>
  <c r="C25" i="1"/>
  <c r="C21" i="1"/>
  <c r="C17" i="1"/>
  <c r="C12" i="1"/>
  <c r="C8" i="1"/>
  <c r="D46" i="1"/>
  <c r="D40" i="1"/>
  <c r="D20" i="1"/>
  <c r="D13" i="1"/>
  <c r="D6" i="1" a="1"/>
  <c r="D5" i="1" a="1"/>
  <c r="D14" i="1" a="1"/>
  <c r="D5" i="1" l="1"/>
  <c r="D14" i="1"/>
  <c r="D6" i="1"/>
  <c r="D47" i="1"/>
  <c r="D48" i="1"/>
  <c r="D49" i="1"/>
  <c r="D50" i="1"/>
  <c r="D51" i="1"/>
  <c r="D52" i="1"/>
  <c r="D54" i="1"/>
  <c r="D55" i="1"/>
  <c r="D56" i="1"/>
  <c r="D57" i="1"/>
  <c r="D58" i="1"/>
  <c r="D59" i="1"/>
  <c r="D60" i="1"/>
  <c r="D61" i="1"/>
  <c r="D62" i="1"/>
  <c r="D64" i="1"/>
  <c r="D65" i="1"/>
  <c r="D66" i="1"/>
  <c r="D67" i="1"/>
  <c r="D68" i="1"/>
  <c r="D69" i="1"/>
  <c r="D70" i="1"/>
  <c r="D72" i="1"/>
  <c r="D73" i="1"/>
  <c r="D74" i="1"/>
  <c r="D75" i="1"/>
  <c r="D76" i="1"/>
  <c r="D77" i="1"/>
  <c r="D78" i="1"/>
  <c r="D79" i="1"/>
  <c r="D82" i="1"/>
  <c r="D83" i="1"/>
  <c r="D85" i="1"/>
  <c r="D86" i="1"/>
  <c r="D88" i="1"/>
  <c r="D89" i="1"/>
  <c r="D92" i="1"/>
  <c r="D94" i="1"/>
  <c r="D96" i="1"/>
  <c r="D97" i="1"/>
  <c r="D98" i="1"/>
  <c r="D99" i="1"/>
  <c r="D100" i="1"/>
  <c r="D101" i="1"/>
  <c r="D102" i="1"/>
  <c r="D44" i="1" a="1"/>
  <c r="D44" i="1" l="1"/>
  <c r="AI102" i="1"/>
  <c r="AI101" i="1"/>
  <c r="AI100" i="1"/>
  <c r="AI99" i="1"/>
  <c r="AI98" i="1"/>
  <c r="AI97" i="1"/>
  <c r="AI96" i="1"/>
  <c r="AI95" i="1"/>
  <c r="AI93" i="1"/>
  <c r="AI91" i="1"/>
  <c r="AO88" i="1"/>
  <c r="AI88" i="1"/>
  <c r="AI87" i="1"/>
  <c r="AI85" i="1"/>
  <c r="AI84" i="1"/>
  <c r="AI82" i="1"/>
  <c r="AI81" i="1"/>
  <c r="AI78" i="1"/>
  <c r="AI77" i="1"/>
  <c r="AI76" i="1"/>
  <c r="AI75" i="1"/>
  <c r="AI74" i="1"/>
  <c r="AI73" i="1"/>
  <c r="AI72" i="1"/>
  <c r="AI71" i="1"/>
  <c r="AO69" i="1"/>
  <c r="AI69" i="1"/>
  <c r="AO68" i="1"/>
  <c r="AI68" i="1"/>
  <c r="AI67" i="1"/>
  <c r="AI66" i="1"/>
  <c r="AI65" i="1"/>
  <c r="AI64" i="1"/>
  <c r="AI63" i="1"/>
  <c r="AI61" i="1"/>
  <c r="AI60" i="1"/>
  <c r="AI59" i="1"/>
  <c r="AI58" i="1"/>
  <c r="AI57" i="1"/>
  <c r="AI56" i="1"/>
  <c r="AI55" i="1"/>
  <c r="AI54" i="1"/>
  <c r="AI53" i="1"/>
  <c r="AI51" i="1"/>
  <c r="AI50" i="1"/>
  <c r="AI49" i="1"/>
  <c r="AO48" i="1"/>
  <c r="AI48" i="1"/>
  <c r="AI47" i="1"/>
  <c r="AI46" i="1"/>
  <c r="AO43" i="1"/>
  <c r="AI43" i="1"/>
  <c r="AI42" i="1"/>
  <c r="AI38" i="1"/>
  <c r="AI37" i="1"/>
  <c r="AI36" i="1"/>
  <c r="AO35" i="1"/>
  <c r="AI35" i="1"/>
  <c r="AI34" i="1"/>
  <c r="AI33" i="1"/>
  <c r="AI32" i="1"/>
  <c r="AI30" i="1"/>
  <c r="AI28" i="1"/>
  <c r="AI25" i="1"/>
  <c r="AI24" i="1"/>
  <c r="AI23" i="1"/>
  <c r="AI21" i="1"/>
  <c r="AI20" i="1"/>
  <c r="AO19" i="1"/>
  <c r="AI19" i="1"/>
  <c r="AI16" i="1"/>
  <c r="AI14" i="1"/>
  <c r="AI12" i="1"/>
  <c r="AI11" i="1"/>
  <c r="AI10" i="1"/>
  <c r="AI9" i="1"/>
  <c r="AI8" i="1"/>
  <c r="AI7" i="1"/>
  <c r="AI6" i="1"/>
  <c r="AI3" i="1"/>
  <c r="AI2" i="1"/>
  <c r="D34" i="1" a="1"/>
  <c r="D9" i="1" a="1"/>
  <c r="D17" i="1" a="1"/>
  <c r="D23" i="1" a="1"/>
  <c r="D31" i="1" a="1"/>
  <c r="D12" i="1" a="1"/>
  <c r="D11" i="1" a="1"/>
  <c r="D7" i="1" a="1"/>
  <c r="D21" i="1" a="1"/>
  <c r="D33" i="1" a="1"/>
  <c r="D43" i="1" a="1"/>
  <c r="D27" i="1" a="1"/>
  <c r="D38" i="1" a="1"/>
  <c r="D42" i="1" a="1"/>
  <c r="D25" i="1" a="1"/>
  <c r="D36" i="1" a="1"/>
  <c r="D4" i="1" a="1"/>
  <c r="D3" i="1" a="1"/>
  <c r="D35" i="1" a="1"/>
  <c r="D41" i="1" a="1"/>
  <c r="D26" i="1" a="1"/>
  <c r="D22" i="1" a="1"/>
  <c r="D16" i="1" a="1"/>
  <c r="D39" i="1" a="1"/>
  <c r="D8" i="1" a="1"/>
  <c r="D10" i="1" a="1"/>
  <c r="D24" i="1" a="1"/>
  <c r="D37" i="1" a="1"/>
  <c r="D24" i="1" l="1"/>
  <c r="D11" i="1"/>
  <c r="D7" i="1"/>
  <c r="D36" i="1"/>
  <c r="D16" i="1"/>
  <c r="D43" i="1"/>
  <c r="D39" i="1"/>
  <c r="D35" i="1"/>
  <c r="D31" i="1"/>
  <c r="D27" i="1"/>
  <c r="D23" i="1"/>
  <c r="D10" i="1"/>
  <c r="D38" i="1"/>
  <c r="D9" i="1"/>
  <c r="D42" i="1"/>
  <c r="D34" i="1"/>
  <c r="D26" i="1"/>
  <c r="D22" i="1"/>
  <c r="D41" i="1"/>
  <c r="D37" i="1"/>
  <c r="D33" i="1"/>
  <c r="D25" i="1"/>
  <c r="D21" i="1"/>
  <c r="D17" i="1"/>
  <c r="D12" i="1"/>
  <c r="D8" i="1"/>
  <c r="D4" i="1"/>
  <c r="D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tc={A5C86B29-2DE2-4076-8880-599CE9EA012C}</author>
  </authors>
  <commentList>
    <comment ref="AQ1" authorId="0" shapeId="0" xr:uid="{A5C86B29-2DE2-4076-8880-599CE9EA012C}">
      <text>
        <t>[Threaded comment]
Your version of Excel allows you to read this threaded comment; however, any edits to it will get removed if the file is opened in a newer version of Excel. Learn more: https://go.microsoft.com/fwlink/?linkid=870924
Comment:
    Check before 1908 games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<sst xmlns="http://schemas.openxmlformats.org/spreadsheetml/2006/main" count="6370" uniqueCount="1348">
  <si>
    <t>Date</t>
  </si>
  <si>
    <t>Time</t>
  </si>
  <si>
    <t>Opponent</t>
  </si>
  <si>
    <t>Opp Rank</t>
  </si>
  <si>
    <t>NCSU Rank</t>
  </si>
  <si>
    <t>3/12/1892</t>
  </si>
  <si>
    <t>Raleigh Male Academy</t>
  </si>
  <si>
    <t>N/A</t>
  </si>
  <si>
    <t>Location</t>
  </si>
  <si>
    <t>NCSU Score</t>
  </si>
  <si>
    <t>Opp Score</t>
  </si>
  <si>
    <t>Differential</t>
  </si>
  <si>
    <t>Result</t>
  </si>
  <si>
    <t>W</t>
  </si>
  <si>
    <t>Attendance</t>
  </si>
  <si>
    <t>Time of Play</t>
  </si>
  <si>
    <t>Event</t>
  </si>
  <si>
    <t>Comment</t>
  </si>
  <si>
    <t>Conference</t>
  </si>
  <si>
    <t>Independent</t>
  </si>
  <si>
    <t>Opp Conference</t>
  </si>
  <si>
    <t>Opp College Status</t>
  </si>
  <si>
    <t>Counts?</t>
  </si>
  <si>
    <t>Y</t>
  </si>
  <si>
    <t>10/20/1892</t>
  </si>
  <si>
    <t>A&amp;M Scrubs and Raleigh Male Academy</t>
  </si>
  <si>
    <t>North Carolina State Fair</t>
  </si>
  <si>
    <t>Exhibition Game</t>
  </si>
  <si>
    <t>N</t>
  </si>
  <si>
    <t>10/21/1892</t>
  </si>
  <si>
    <t>Unconfirmed</t>
  </si>
  <si>
    <t>11/12/1892</t>
  </si>
  <si>
    <t>Wake Forest</t>
  </si>
  <si>
    <t>N - Prep School</t>
  </si>
  <si>
    <t>Disputed: WF claimed win by forfeit</t>
  </si>
  <si>
    <t>10/12/1893</t>
  </si>
  <si>
    <t>H/A/N</t>
  </si>
  <si>
    <t>H</t>
  </si>
  <si>
    <t>A</t>
  </si>
  <si>
    <t>North Carolina (Scrubs)</t>
  </si>
  <si>
    <t>N - Scrub Team</t>
  </si>
  <si>
    <t>Field Name</t>
  </si>
  <si>
    <t>Wake Forest Athletic Grounds</t>
  </si>
  <si>
    <t>NC - Raleigh</t>
  </si>
  <si>
    <t>NC - Wake Forest</t>
  </si>
  <si>
    <t>Fair Grounds (Raleigh)</t>
  </si>
  <si>
    <t>NC - Chapel Hill</t>
  </si>
  <si>
    <t>L</t>
  </si>
  <si>
    <t>UNC's University Day</t>
  </si>
  <si>
    <t>Opp Location</t>
  </si>
  <si>
    <t>11/7/1893</t>
  </si>
  <si>
    <t>Tennessee</t>
  </si>
  <si>
    <t>TN - Knoxville</t>
  </si>
  <si>
    <t>11/17/1893</t>
  </si>
  <si>
    <t>11/30/1893</t>
  </si>
  <si>
    <t>Oak Ridge Institute</t>
  </si>
  <si>
    <t>NC - Oak Ridge</t>
  </si>
  <si>
    <t>Athletic Park (Greensboro)</t>
  </si>
  <si>
    <t>NC - Greensboro</t>
  </si>
  <si>
    <t>Thanksgiving Day</t>
  </si>
  <si>
    <t>12/1/1893</t>
  </si>
  <si>
    <t>South Side Park</t>
  </si>
  <si>
    <t>NC - Winston-Salem</t>
  </si>
  <si>
    <t>12/31/1893</t>
  </si>
  <si>
    <t>10/12/1894</t>
  </si>
  <si>
    <t>North Carolina</t>
  </si>
  <si>
    <t>10/20/1894</t>
  </si>
  <si>
    <t>11/10/1894</t>
  </si>
  <si>
    <t>Duke</t>
  </si>
  <si>
    <t>Trinity Park</t>
  </si>
  <si>
    <t>Athletic Park (Raleigh)</t>
  </si>
  <si>
    <t>NC - Durham</t>
  </si>
  <si>
    <t>10/13/1894</t>
  </si>
  <si>
    <t>Canceled</t>
  </si>
  <si>
    <t>11/16/1894</t>
  </si>
  <si>
    <t>Trinity not allowed to play off-campus</t>
  </si>
  <si>
    <t>11/24/1894</t>
  </si>
  <si>
    <t>Canceled by Oak Ridge</t>
  </si>
  <si>
    <t>Canceled by mutual consent</t>
  </si>
  <si>
    <t>11/29/1894</t>
  </si>
  <si>
    <t>Wilmington Athletic Club</t>
  </si>
  <si>
    <t>NC - Wilmington</t>
  </si>
  <si>
    <t>N - Athletic Club</t>
  </si>
  <si>
    <t>Hilton Park</t>
  </si>
  <si>
    <t>10/12/1895</t>
  </si>
  <si>
    <t>10/18/1895</t>
  </si>
  <si>
    <t>Richmond</t>
  </si>
  <si>
    <t>VA - Richmond</t>
  </si>
  <si>
    <t>Game ended early - darkness</t>
  </si>
  <si>
    <t>Game ended early - mutual consent</t>
  </si>
  <si>
    <t>10/19/1895</t>
  </si>
  <si>
    <t>T</t>
  </si>
  <si>
    <t>10/25/1895</t>
  </si>
  <si>
    <t>Virginia Military Institute</t>
  </si>
  <si>
    <t>VA - Lexington</t>
  </si>
  <si>
    <t>Piedmont Park</t>
  </si>
  <si>
    <t>GA - Atlanta</t>
  </si>
  <si>
    <t>Cotton States and International Exposition</t>
  </si>
  <si>
    <t>10/26/1895</t>
  </si>
  <si>
    <t>Charlotte Athletic Club</t>
  </si>
  <si>
    <t>NC - Charlotte</t>
  </si>
  <si>
    <t>Latta Park</t>
  </si>
  <si>
    <t>11/28/1895</t>
  </si>
  <si>
    <t>Guilford</t>
  </si>
  <si>
    <t>12/31/1896</t>
  </si>
  <si>
    <t>9/25/1897</t>
  </si>
  <si>
    <t>Canceled - conflicting reports on why</t>
  </si>
  <si>
    <t>10/2/1897</t>
  </si>
  <si>
    <t>10/11/1897</t>
  </si>
  <si>
    <t>Canceled by Richmond</t>
  </si>
  <si>
    <t>10/22/1897</t>
  </si>
  <si>
    <t>12/31/1897</t>
  </si>
  <si>
    <t>Davidson</t>
  </si>
  <si>
    <t>NC - Davidson</t>
  </si>
  <si>
    <t>10/15/1898</t>
  </si>
  <si>
    <t>11/12/1898</t>
  </si>
  <si>
    <t>Horner Military School</t>
  </si>
  <si>
    <t>NC - Oxford</t>
  </si>
  <si>
    <t>11/19/1898</t>
  </si>
  <si>
    <t>William Bingham School</t>
  </si>
  <si>
    <t>NC - Mebane</t>
  </si>
  <si>
    <t>First neutral game played on UNC's field</t>
  </si>
  <si>
    <t>11/24/1898</t>
  </si>
  <si>
    <t>10/7/1899</t>
  </si>
  <si>
    <t>10/21/1899</t>
  </si>
  <si>
    <t>10/28/1899</t>
  </si>
  <si>
    <t>11/1/1899</t>
  </si>
  <si>
    <t>MD - Baltimore</t>
  </si>
  <si>
    <t>"Old" Maryland</t>
  </si>
  <si>
    <t>Canceled due to NC Colored Fair</t>
  </si>
  <si>
    <t>11/10/1899</t>
  </si>
  <si>
    <t>11/17/1899</t>
  </si>
  <si>
    <t>11/18/1899</t>
  </si>
  <si>
    <t>Clemson</t>
  </si>
  <si>
    <t>SC - Clemson</t>
  </si>
  <si>
    <t>Athletic Park (Rock Hill)</t>
  </si>
  <si>
    <t>SC - Rock Hill</t>
  </si>
  <si>
    <t>11/30/1899</t>
  </si>
  <si>
    <t>NC Athletics Assoc.</t>
  </si>
  <si>
    <t>Canceled - Bingham not ready</t>
  </si>
  <si>
    <t>SIAA</t>
  </si>
  <si>
    <t>Canceled - UNC refused NC AA rules</t>
  </si>
  <si>
    <t>Central Carolina Fair Grounds</t>
  </si>
  <si>
    <t>Central Carolina Fair</t>
  </si>
  <si>
    <t>Playing Fields (Oak Ridge)</t>
  </si>
  <si>
    <t>VA - Blacksburg</t>
  </si>
  <si>
    <t>Pullen Park</t>
  </si>
  <si>
    <t>South Carolina</t>
  </si>
  <si>
    <t>SC - Columbia</t>
  </si>
  <si>
    <t>College Park (Columbia)</t>
  </si>
  <si>
    <t>Potentially first forward passes vs NC State</t>
  </si>
  <si>
    <t>Georgia</t>
  </si>
  <si>
    <t>GA - Athens</t>
  </si>
  <si>
    <t>Gate City Guards</t>
  </si>
  <si>
    <t>N - military</t>
  </si>
  <si>
    <t>Canceled - Guards could not furnish team</t>
  </si>
  <si>
    <t>Bowman Field</t>
  </si>
  <si>
    <t>Furman</t>
  </si>
  <si>
    <t>SC - Greenville</t>
  </si>
  <si>
    <t>Campus Athletic Field (Greenville)</t>
  </si>
  <si>
    <t>Gibboney Field</t>
  </si>
  <si>
    <t>St. Albans</t>
  </si>
  <si>
    <t>VA - Radford</t>
  </si>
  <si>
    <t>Athletic Park (Roanoke)</t>
  </si>
  <si>
    <t>VA - Roanoke</t>
  </si>
  <si>
    <t>Game ended in fighting</t>
  </si>
  <si>
    <t>Cone Athletic Park</t>
  </si>
  <si>
    <t>VMI Parade Ground</t>
  </si>
  <si>
    <t>Danville Military Institute</t>
  </si>
  <si>
    <t>VA - Danville</t>
  </si>
  <si>
    <t>Athletic Park (Danville)</t>
  </si>
  <si>
    <t>Old State Fair Grounds</t>
  </si>
  <si>
    <t>South Carolina State Fair</t>
  </si>
  <si>
    <t>KY - Lexington</t>
  </si>
  <si>
    <t>Canceled by NC A&amp;M</t>
  </si>
  <si>
    <t>Washington &amp; Lee</t>
  </si>
  <si>
    <t>Cancled after typhoid fever outbreak in Lexington</t>
  </si>
  <si>
    <t>Vanderbilt</t>
  </si>
  <si>
    <t>TN - Nashville</t>
  </si>
  <si>
    <t>Dudley Field</t>
  </si>
  <si>
    <t>Canceled due to Thug Movement</t>
  </si>
  <si>
    <t>Virginia</t>
  </si>
  <si>
    <t>Lambeth Field</t>
  </si>
  <si>
    <t>VA - Charlottesville</t>
  </si>
  <si>
    <t>Georgia Tech</t>
  </si>
  <si>
    <t>Canceled - Richmond not prepared</t>
  </si>
  <si>
    <t>University Field</t>
  </si>
  <si>
    <t>Controversy over timekeeping</t>
  </si>
  <si>
    <t>Fairview Park</t>
  </si>
  <si>
    <t>Randolph-Macon</t>
  </si>
  <si>
    <t>VA - Ashland</t>
  </si>
  <si>
    <t>First forward pass &amp; forward pass touchdown</t>
  </si>
  <si>
    <t>Day Of Week</t>
  </si>
  <si>
    <t>Days Since Prev Game</t>
  </si>
  <si>
    <t>Days Since Prev Counted Game</t>
  </si>
  <si>
    <t>Days Since Prev Schedule</t>
  </si>
  <si>
    <t>?</t>
  </si>
  <si>
    <t>Game Played</t>
  </si>
  <si>
    <t>Days Since Prev Confirmed Game</t>
  </si>
  <si>
    <t>Days Since Prev C &amp; C Game</t>
  </si>
  <si>
    <t>10/23/1894</t>
  </si>
  <si>
    <t>Order Scheduled</t>
  </si>
  <si>
    <t>Order of Games</t>
  </si>
  <si>
    <t>Order of Counted Games</t>
  </si>
  <si>
    <t>Order of Confirmed Games</t>
  </si>
  <si>
    <t>Order of C &amp; C Games</t>
  </si>
  <si>
    <t>Order of Games by Season</t>
  </si>
  <si>
    <t>Order of Counted Games by Season</t>
  </si>
  <si>
    <t>Order of Confirmed Games by Season</t>
  </si>
  <si>
    <t>Order of C &amp; C Games by Season</t>
  </si>
  <si>
    <t>Order Scheduled By Season</t>
  </si>
  <si>
    <t>Final Reg Season (Incl. Unconf &amp; Uncount)</t>
  </si>
  <si>
    <t>Final Reg Season (Counted)</t>
  </si>
  <si>
    <t>Final Reg Season (Confirmed)</t>
  </si>
  <si>
    <t>Final Reg Season (C &amp; C)</t>
  </si>
  <si>
    <t>True Final (Incl. Unconf &amp; Uncount)</t>
  </si>
  <si>
    <t>True Final (Counted)</t>
  </si>
  <si>
    <t>True Final (Confirmed)</t>
  </si>
  <si>
    <t>True Final (C &amp; C)</t>
  </si>
  <si>
    <t>Pre-Season Bowl Game</t>
  </si>
  <si>
    <t>Mid-Season Bowl Game</t>
  </si>
  <si>
    <t>W1</t>
  </si>
  <si>
    <t>L1</t>
  </si>
  <si>
    <t>W2</t>
  </si>
  <si>
    <t>W3</t>
  </si>
  <si>
    <t>W4</t>
  </si>
  <si>
    <t>W5</t>
  </si>
  <si>
    <t>L3</t>
  </si>
  <si>
    <t>L5</t>
  </si>
  <si>
    <t>T3</t>
  </si>
  <si>
    <t>L4</t>
  </si>
  <si>
    <t>L2</t>
  </si>
  <si>
    <t>Streak Before (All)</t>
  </si>
  <si>
    <t>Streak Before (Counts)</t>
  </si>
  <si>
    <t>Streak Before (Confirmed)</t>
  </si>
  <si>
    <t>Streak Before (C &amp; C)</t>
  </si>
  <si>
    <t>L7</t>
  </si>
  <si>
    <t>T1</t>
  </si>
  <si>
    <t>L6</t>
  </si>
  <si>
    <t>Games Since Loss (Confirmed)</t>
  </si>
  <si>
    <t>Games Since Loss (C &amp; C)</t>
  </si>
  <si>
    <t>Games Since Win (All)</t>
  </si>
  <si>
    <t>Games Since Win (Counts)</t>
  </si>
  <si>
    <t>Games Since Win (Confirmed)</t>
  </si>
  <si>
    <t>Games Since Win (C &amp; C)</t>
  </si>
  <si>
    <t>Games Since Loss Before (Counts)</t>
  </si>
  <si>
    <t>Games Since Loss Before (All)</t>
  </si>
  <si>
    <t>T2</t>
  </si>
  <si>
    <t>does not count</t>
  </si>
  <si>
    <t>not confirmed</t>
  </si>
  <si>
    <t>A&amp;M Athletic Field</t>
  </si>
  <si>
    <t>First game at "New Athletic Field" --&gt; Riddick Field</t>
  </si>
  <si>
    <t>Post-Season Bowl Game</t>
  </si>
  <si>
    <t>0-0</t>
  </si>
  <si>
    <t>0-1</t>
  </si>
  <si>
    <t>0-2</t>
  </si>
  <si>
    <t>0-3</t>
  </si>
  <si>
    <t>0-4</t>
  </si>
  <si>
    <t>0-11</t>
  </si>
  <si>
    <t>Opp W Before</t>
  </si>
  <si>
    <t>Opp L Before</t>
  </si>
  <si>
    <t>Opp T Before</t>
  </si>
  <si>
    <t>Opp W EoS</t>
  </si>
  <si>
    <t>Opp L EoS</t>
  </si>
  <si>
    <t>Opp T EoS</t>
  </si>
  <si>
    <t>1892 (Spring)</t>
  </si>
  <si>
    <t>at NC A&amp;M</t>
  </si>
  <si>
    <t>*** 3/12</t>
  </si>
  <si>
    <t>3/12/1892 - Raleigh Male Academy</t>
  </si>
  <si>
    <t>Date and Opponent</t>
  </si>
  <si>
    <t>Dates</t>
  </si>
  <si>
    <t>L 6-12</t>
  </si>
  <si>
    <t>1892 (Fall)</t>
  </si>
  <si>
    <t>10/20/1892 - RMA + A&amp;M Scrubs</t>
  </si>
  <si>
    <t>*** 10/20</t>
  </si>
  <si>
    <t>L 4-8</t>
  </si>
  <si>
    <t>???</t>
  </si>
  <si>
    <t>10/21/1892 - RMA + A&amp;M Scrubs</t>
  </si>
  <si>
    <t>*** 10/21</t>
  </si>
  <si>
    <t>Incoming Record</t>
  </si>
  <si>
    <t>EoY Record</t>
  </si>
  <si>
    <t>3-0-1</t>
  </si>
  <si>
    <t>4-0-1</t>
  </si>
  <si>
    <t>vs Asheville Athletics</t>
  </si>
  <si>
    <t>W 40-0</t>
  </si>
  <si>
    <t>T 12-12</t>
  </si>
  <si>
    <t>at Washington &amp; Lee</t>
  </si>
  <si>
    <t>W 16-0</t>
  </si>
  <si>
    <t>at Richmond</t>
  </si>
  <si>
    <t>W 19-0</t>
  </si>
  <si>
    <t>*** 11/12</t>
  </si>
  <si>
    <t>NC A&amp;M</t>
  </si>
  <si>
    <t>at Tennessee</t>
  </si>
  <si>
    <t>W 10-6</t>
  </si>
  <si>
    <t>"forfeit"</t>
  </si>
  <si>
    <t>St. Johns (MD)</t>
  </si>
  <si>
    <t>11/12/1892 - at Wake Forest</t>
  </si>
  <si>
    <t>*** 10/12</t>
  </si>
  <si>
    <t>W 22-0</t>
  </si>
  <si>
    <t>(confirmed season opener)</t>
  </si>
  <si>
    <t>L 6-8</t>
  </si>
  <si>
    <t>1-1</t>
  </si>
  <si>
    <t>at Dippy Football Club (Wilmington)</t>
  </si>
  <si>
    <t>canceled?</t>
  </si>
  <si>
    <t>10/12/1893 - at UNC Scrubs</t>
  </si>
  <si>
    <t>11/7/1893 - Tennessee</t>
  </si>
  <si>
    <t>2-5</t>
  </si>
  <si>
    <t>Kentucky State</t>
  </si>
  <si>
    <t>L 0-56</t>
  </si>
  <si>
    <t>at Trinity</t>
  </si>
  <si>
    <t>L 0-70</t>
  </si>
  <si>
    <t>at Wake Forest</t>
  </si>
  <si>
    <t>L 0-64</t>
  </si>
  <si>
    <t>*** 11/7</t>
  </si>
  <si>
    <t>at North Carolina</t>
  </si>
  <si>
    <t>L 0-60</t>
  </si>
  <si>
    <t>Maryville</t>
  </si>
  <si>
    <t>W 32-0</t>
  </si>
  <si>
    <t>Asheville Athletics</t>
  </si>
  <si>
    <t>W 12-6</t>
  </si>
  <si>
    <t>at Guilford</t>
  </si>
  <si>
    <t>*** 11/30</t>
  </si>
  <si>
    <t>vs NC A&amp;M</t>
  </si>
  <si>
    <t>L 4-12</t>
  </si>
  <si>
    <t>1-0</t>
  </si>
  <si>
    <t>11/17/1893 - at UNC Scrubs</t>
  </si>
  <si>
    <t>*** 11/17</t>
  </si>
  <si>
    <t>L 8-24</t>
  </si>
  <si>
    <t>11/30/1893 - vs Oak Ridge (Greensboro)</t>
  </si>
  <si>
    <t>11/30/1893 - vs Oak Ridge (Winston-Salem)</t>
  </si>
  <si>
    <t>*** 12/1</t>
  </si>
  <si>
    <t>UNKNOWN DATE - Raleigh Male Academy</t>
  </si>
  <si>
    <t>NC School for Deaf &amp; Dumb</t>
  </si>
  <si>
    <t>W 12-0</t>
  </si>
  <si>
    <t>*** ???</t>
  </si>
  <si>
    <t>L 0-13</t>
  </si>
  <si>
    <t>10/12/1894 - at North Carolina</t>
  </si>
  <si>
    <t>6-3</t>
  </si>
  <si>
    <t>W 44-0</t>
  </si>
  <si>
    <t>Trinity</t>
  </si>
  <si>
    <t>W 28-0</t>
  </si>
  <si>
    <t>vs Sewanee</t>
  </si>
  <si>
    <t>W 36-4</t>
  </si>
  <si>
    <t>at Lehigh</t>
  </si>
  <si>
    <t>L 6-24</t>
  </si>
  <si>
    <t>at Rutgers</t>
  </si>
  <si>
    <t>L 0-5</t>
  </si>
  <si>
    <t>at Georgetown</t>
  </si>
  <si>
    <t>W 20-4</t>
  </si>
  <si>
    <t>vs Richmond</t>
  </si>
  <si>
    <t>vs Virginia</t>
  </si>
  <si>
    <t>L 0-34</t>
  </si>
  <si>
    <t>10/20/1894 - North Carolina</t>
  </si>
  <si>
    <t>11/10/1894 - at Trinity</t>
  </si>
  <si>
    <t>football nearly banned at start of season</t>
  </si>
  <si>
    <t>L 0-28</t>
  </si>
  <si>
    <t>*** 11/10</t>
  </si>
  <si>
    <t>W 6-0</t>
  </si>
  <si>
    <t>11/24/1894 - vs Oak Ridge Institute</t>
  </si>
  <si>
    <t>at Davis Military School (Winston-Salem)</t>
  </si>
  <si>
    <t>L 0-8</t>
  </si>
  <si>
    <t>11/29/1894 - at Wilmington Athletic Club</t>
  </si>
  <si>
    <t>*** 11/29</t>
  </si>
  <si>
    <t>L 0-22</t>
  </si>
  <si>
    <t>10/12/1895 - at North Carolina</t>
  </si>
  <si>
    <t>W 36-0</t>
  </si>
  <si>
    <t>7-1-1</t>
  </si>
  <si>
    <t>W 34-0</t>
  </si>
  <si>
    <t>vs Georgia</t>
  </si>
  <si>
    <t>at Vanderbilt</t>
  </si>
  <si>
    <t>at Sewanee</t>
  </si>
  <si>
    <t>T 0-0</t>
  </si>
  <si>
    <t>vs Washington &amp; Lee</t>
  </si>
  <si>
    <t>vs Virginia AMC</t>
  </si>
  <si>
    <t>W 32-5</t>
  </si>
  <si>
    <t>L 6-0</t>
  </si>
  <si>
    <t>10/18/1895 - Richmond</t>
  </si>
  <si>
    <t>Hampton Athletic Club</t>
  </si>
  <si>
    <t>L 0-10</t>
  </si>
  <si>
    <t>0-5-1</t>
  </si>
  <si>
    <t>*** 10/18</t>
  </si>
  <si>
    <t>L 0-6</t>
  </si>
  <si>
    <t>L 0-44</t>
  </si>
  <si>
    <t>at Virginia</t>
  </si>
  <si>
    <t>L 0-62</t>
  </si>
  <si>
    <t>10/19/1895 - Wake Forest</t>
  </si>
  <si>
    <t>0-0-1</t>
  </si>
  <si>
    <t>WF faculty banned football on Oct 24th</t>
  </si>
  <si>
    <t>*** 10/19</t>
  </si>
  <si>
    <t>T 4-4</t>
  </si>
  <si>
    <t>5-1</t>
  </si>
  <si>
    <t>W 18-0</t>
  </si>
  <si>
    <t>W 42-6</t>
  </si>
  <si>
    <t>W 30-0</t>
  </si>
  <si>
    <t>Roanoke</t>
  </si>
  <si>
    <t>W 26-0</t>
  </si>
  <si>
    <t>L 4-6</t>
  </si>
  <si>
    <t>*** 10/25</t>
  </si>
  <si>
    <t>10/26/1895 - at Charlotte Athletic Club</t>
  </si>
  <si>
    <t>*** 10/26</t>
  </si>
  <si>
    <t>0-1-1</t>
  </si>
  <si>
    <t>11/28/1895 - Guilford</t>
  </si>
  <si>
    <t>W 58-0</t>
  </si>
  <si>
    <t>*** 11/28</t>
  </si>
  <si>
    <t>L 0-26</t>
  </si>
  <si>
    <t>at Trinity High School</t>
  </si>
  <si>
    <t>UNKNOWN DATE - Guilford</t>
  </si>
  <si>
    <t>2-2-1</t>
  </si>
  <si>
    <t>L 4-26</t>
  </si>
  <si>
    <t>Greensboro Athletic Club</t>
  </si>
  <si>
    <t>W 10-0</t>
  </si>
  <si>
    <t>W 6-4</t>
  </si>
  <si>
    <t>T 6-6</t>
  </si>
  <si>
    <t>at Salisbury Athletic Club</t>
  </si>
  <si>
    <t>2-3-1</t>
  </si>
  <si>
    <t>2-1</t>
  </si>
  <si>
    <t>9/25/1897 - Guilford</t>
  </si>
  <si>
    <t>canceled</t>
  </si>
  <si>
    <t>L 0-16</t>
  </si>
  <si>
    <t>*** 9/25</t>
  </si>
  <si>
    <t>10/2/1897 - at North Carolina</t>
  </si>
  <si>
    <t>7-3</t>
  </si>
  <si>
    <t>*** 10/2</t>
  </si>
  <si>
    <t>W 24-0</t>
  </si>
  <si>
    <t>L 0-4</t>
  </si>
  <si>
    <t>L 0-31</t>
  </si>
  <si>
    <t>at Robert Bingham School</t>
  </si>
  <si>
    <t>W 14-0</t>
  </si>
  <si>
    <t>L 0-12</t>
  </si>
  <si>
    <t>10/11/1897 - Richmond</t>
  </si>
  <si>
    <t>3-5-0</t>
  </si>
  <si>
    <t>Richmond Athletic Club</t>
  </si>
  <si>
    <t>at Hampton Athletic Club</t>
  </si>
  <si>
    <t>L 0-32</t>
  </si>
  <si>
    <t>*** 10/11</t>
  </si>
  <si>
    <t>at Petersburg YMCA</t>
  </si>
  <si>
    <t>W 8-6</t>
  </si>
  <si>
    <t>George Washington (DC)</t>
  </si>
  <si>
    <t>L 0-20</t>
  </si>
  <si>
    <t>L 0-36</t>
  </si>
  <si>
    <t>UNKNOWN DATE - Davidson</t>
  </si>
  <si>
    <t xml:space="preserve">***??? </t>
  </si>
  <si>
    <t>L 0-19</t>
  </si>
  <si>
    <t>10/15/1898 - at North Carolina</t>
  </si>
  <si>
    <t>9-0</t>
  </si>
  <si>
    <t>Greensboro Athletic Association</t>
  </si>
  <si>
    <t>W 11-0</t>
  </si>
  <si>
    <t>W 28-6</t>
  </si>
  <si>
    <t>vs Davidson (Charlotte)</t>
  </si>
  <si>
    <t>vs Georgia (Macon)</t>
  </si>
  <si>
    <t>W 53-0</t>
  </si>
  <si>
    <t>Auburn</t>
  </si>
  <si>
    <t>W 29-0</t>
  </si>
  <si>
    <t>vs Virginia (Richmond)</t>
  </si>
  <si>
    <t>W 6-2</t>
  </si>
  <si>
    <t>11/12/1898 - vs Horner Military School</t>
  </si>
  <si>
    <t>Raleigh Male Academy (Morson &amp; Denson)</t>
  </si>
  <si>
    <t>W 15-0</t>
  </si>
  <si>
    <t>vs NC A&amp;M (Trinity)</t>
  </si>
  <si>
    <t>11/19/1898 - vs William Bingham School</t>
  </si>
  <si>
    <t>L 0-23</t>
  </si>
  <si>
    <t>L 5-10</t>
  </si>
  <si>
    <t>*** 11/19</t>
  </si>
  <si>
    <t>vs NC A&amp;M (Chapel Hill)</t>
  </si>
  <si>
    <t>W 22-12</t>
  </si>
  <si>
    <t>at Horner Military School</t>
  </si>
  <si>
    <t>W 24-6</t>
  </si>
  <si>
    <t>2-2</t>
  </si>
  <si>
    <t>at Greensboro Athletic Association</t>
  </si>
  <si>
    <t>at Oak Ridge Institute</t>
  </si>
  <si>
    <t>11/24/1898 - Guilford</t>
  </si>
  <si>
    <t>L 0-18</t>
  </si>
  <si>
    <t>L 0-17</t>
  </si>
  <si>
    <t>*** 11/24</t>
  </si>
  <si>
    <t>L 0-21</t>
  </si>
  <si>
    <t>10/7/1899 - at North Carolina</t>
  </si>
  <si>
    <t>*** 10/7</t>
  </si>
  <si>
    <t>7-3-1</t>
  </si>
  <si>
    <t>W 45-0</t>
  </si>
  <si>
    <t>W 46-0</t>
  </si>
  <si>
    <t>T 11-11</t>
  </si>
  <si>
    <t>at Navy</t>
  </si>
  <si>
    <t>at Princeton</t>
  </si>
  <si>
    <t>L 0-30</t>
  </si>
  <si>
    <t>vs Georgia (Atlanta)</t>
  </si>
  <si>
    <t>W 5-0</t>
  </si>
  <si>
    <t>10/21/1899 - William Bingham School</t>
  </si>
  <si>
    <t>L 5-6</t>
  </si>
  <si>
    <t>Horner appears to have organized their team too late in the season to play anyone aside from UNC Scrubs and Wilmington</t>
  </si>
  <si>
    <t>canceled by Bingham</t>
  </si>
  <si>
    <t>10/28/1899 - at North Carolina</t>
  </si>
  <si>
    <t>*** 10/28</t>
  </si>
  <si>
    <t>5-0</t>
  </si>
  <si>
    <t>Gettysburg College</t>
  </si>
  <si>
    <t>W 6-5</t>
  </si>
  <si>
    <t>L 0-42</t>
  </si>
  <si>
    <t>Baltimore Medical College</t>
  </si>
  <si>
    <t>Portsmouth Football Association</t>
  </si>
  <si>
    <t>Johns Hopkins</t>
  </si>
  <si>
    <t>at Rock Hill College (Ellicot City, MD)</t>
  </si>
  <si>
    <t>at Gallaudet</t>
  </si>
  <si>
    <t>College of Physicians and Surgeons (Baltimore)</t>
  </si>
  <si>
    <t>maryland stated it was a practice game</t>
  </si>
  <si>
    <t>3-5-1</t>
  </si>
  <si>
    <t>11/1/1899 - "Old" Maryland</t>
  </si>
  <si>
    <t>11/10/1899 - Guilford</t>
  </si>
  <si>
    <t>at William Bingham School</t>
  </si>
  <si>
    <t>"Bingham School Park"</t>
  </si>
  <si>
    <t>L 0-45</t>
  </si>
  <si>
    <t>*** 11/9</t>
  </si>
  <si>
    <t>2-1-1</t>
  </si>
  <si>
    <t>11/17/1899 - vs Davidson</t>
  </si>
  <si>
    <t>vs Clemson (Rock Hill)</t>
  </si>
  <si>
    <t>vs North Carolina (Charlotte)</t>
  </si>
  <si>
    <t>L 6-2</t>
  </si>
  <si>
    <t>vs NC A&amp;M (Charlotte)</t>
  </si>
  <si>
    <t>vs South Carolina (Charlotte)</t>
  </si>
  <si>
    <t>W 0-5</t>
  </si>
  <si>
    <t>1-3-1</t>
  </si>
  <si>
    <t>11/18/1899 - vs Clemson</t>
  </si>
  <si>
    <t>at Georgia</t>
  </si>
  <si>
    <t>L 0-11</t>
  </si>
  <si>
    <t>vs Davidson (Rock Hill)</t>
  </si>
  <si>
    <t>at Auburn</t>
  </si>
  <si>
    <t>at South Carolina</t>
  </si>
  <si>
    <t>*** 11/18</t>
  </si>
  <si>
    <t>vs NC A&amp;M (Rock Hill)</t>
  </si>
  <si>
    <t>vs Georgia Tech (Greenville, SC)</t>
  </si>
  <si>
    <t>W 41-5</t>
  </si>
  <si>
    <t>4-2</t>
  </si>
  <si>
    <t>11/30/1899 - Oak Ridge Institute</t>
  </si>
  <si>
    <t>at Davidson</t>
  </si>
  <si>
    <t>correct no of games</t>
  </si>
  <si>
    <t>10/5/1900 - William Bingham School</t>
  </si>
  <si>
    <t>*** 10/5</t>
  </si>
  <si>
    <t>at UNC Sophomores</t>
  </si>
  <si>
    <t>Chapel Hill High School</t>
  </si>
  <si>
    <t>W 50-6</t>
  </si>
  <si>
    <t>1-2-1</t>
  </si>
  <si>
    <t>10/6/1900 - at North Carolina</t>
  </si>
  <si>
    <t>*** 10/6</t>
  </si>
  <si>
    <t>W 38-0</t>
  </si>
  <si>
    <t>W 22-5</t>
  </si>
  <si>
    <t>W 48-0</t>
  </si>
  <si>
    <t>vs Sewanee (Atlanta)</t>
  </si>
  <si>
    <t>vs Georgia (Raleigh)</t>
  </si>
  <si>
    <t>W 55-0</t>
  </si>
  <si>
    <t>vs Virginia (Norfolk)</t>
  </si>
  <si>
    <t>4-1-3</t>
  </si>
  <si>
    <t>10/10/1900 - vs Guilford</t>
  </si>
  <si>
    <t>*** 10/10</t>
  </si>
  <si>
    <t>W 11-5</t>
  </si>
  <si>
    <t>10/11/1900 - at Oak Ridge Institute</t>
  </si>
  <si>
    <t>L 5-17</t>
  </si>
  <si>
    <t>W 23-0</t>
  </si>
  <si>
    <t>Winston Tobacco Fair</t>
  </si>
  <si>
    <t>W 76-0</t>
  </si>
  <si>
    <t>Chapel Hill High School (Canada School)</t>
  </si>
  <si>
    <t>vs Horner Military School (Durham)</t>
  </si>
  <si>
    <t>W 57-0</t>
  </si>
  <si>
    <t>Madison team</t>
  </si>
  <si>
    <t>vs North Carolina Medical College [Davidson] (Winston-Salem)</t>
  </si>
  <si>
    <t>Madison team or HS?</t>
  </si>
  <si>
    <t>2-0</t>
  </si>
  <si>
    <t>3-3-1</t>
  </si>
  <si>
    <t>at St. Albans</t>
  </si>
  <si>
    <t>W 16-6</t>
  </si>
  <si>
    <t>W 18-2</t>
  </si>
  <si>
    <t>vs Clemson (Charlotte)</t>
  </si>
  <si>
    <t>L 5-12</t>
  </si>
  <si>
    <t>*** 11/2</t>
  </si>
  <si>
    <t>4-3</t>
  </si>
  <si>
    <t>1-2</t>
  </si>
  <si>
    <t>L 0-51</t>
  </si>
  <si>
    <t>at Furman</t>
  </si>
  <si>
    <t>W 27-0</t>
  </si>
  <si>
    <t>W 17-5</t>
  </si>
  <si>
    <t>at Clemson</t>
  </si>
  <si>
    <t>W 17-0</t>
  </si>
  <si>
    <t>at Georgia Tech</t>
  </si>
  <si>
    <t>W 38-6</t>
  </si>
  <si>
    <t>3-1</t>
  </si>
  <si>
    <t>10/17/1900 - North Carolina</t>
  </si>
  <si>
    <t>3-0-2</t>
  </si>
  <si>
    <t>11/19/1900 - Georgia</t>
  </si>
  <si>
    <t>Sewanee</t>
  </si>
  <si>
    <t>L 6-21</t>
  </si>
  <si>
    <t>L 5-39</t>
  </si>
  <si>
    <t>L 0-55</t>
  </si>
  <si>
    <t>vs Auburn (Atlanta)</t>
  </si>
  <si>
    <t>2-3</t>
  </si>
  <si>
    <t>11/23/1900 - Oak Ridge Institute</t>
  </si>
  <si>
    <t>*** 11/23</t>
  </si>
  <si>
    <t>ruled out by NC AA</t>
  </si>
  <si>
    <t>4-1</t>
  </si>
  <si>
    <t>3-3</t>
  </si>
  <si>
    <t>11/2/1900 - Guilford</t>
  </si>
  <si>
    <t>11/10/1900 - at South Carolina</t>
  </si>
  <si>
    <t>11/12/1900 - vs Davidson</t>
  </si>
  <si>
    <t>11/29/1900 - South Carolina</t>
  </si>
  <si>
    <t>10/9/1901 - vs Guilford</t>
  </si>
  <si>
    <t>L 0-24</t>
  </si>
  <si>
    <t>L 0-122</t>
  </si>
  <si>
    <t>*** 10/9</t>
  </si>
  <si>
    <t>Madison High School</t>
  </si>
  <si>
    <t>W 49-0</t>
  </si>
  <si>
    <t>at North Carolina Scrubs</t>
  </si>
  <si>
    <t>W 16-11</t>
  </si>
  <si>
    <t>at Asheville School</t>
  </si>
  <si>
    <t>at High Point Graded School</t>
  </si>
  <si>
    <t>0-7</t>
  </si>
  <si>
    <t>at Morganton School for the Deaf</t>
  </si>
  <si>
    <t>5-2</t>
  </si>
  <si>
    <t>10/16/1901 - at North Carolina</t>
  </si>
  <si>
    <t>10/10/1901 - at Oak Ridge Institute</t>
  </si>
  <si>
    <t>*** 10/16</t>
  </si>
  <si>
    <t>W 39-0</t>
  </si>
  <si>
    <t>W 42-0</t>
  </si>
  <si>
    <t>L 6-23</t>
  </si>
  <si>
    <t>L 10-22</t>
  </si>
  <si>
    <t>7-2</t>
  </si>
  <si>
    <t>11/17/1901 - North Carolina</t>
  </si>
  <si>
    <t>11/23/1901 - Guilford</t>
  </si>
  <si>
    <t>0-5</t>
  </si>
  <si>
    <t>11/28/1901 - Davidson</t>
  </si>
  <si>
    <t>North Carolina Military Academy</t>
  </si>
  <si>
    <t>W 12-5</t>
  </si>
  <si>
    <t>L 6-27</t>
  </si>
  <si>
    <t>9/26/1902 - Gate City Guards</t>
  </si>
  <si>
    <t>*** 9/26</t>
  </si>
  <si>
    <t>10/4/1902 - at Clemson</t>
  </si>
  <si>
    <t>*** 10/4</t>
  </si>
  <si>
    <t>6-1</t>
  </si>
  <si>
    <t>W 44-5</t>
  </si>
  <si>
    <t>10/6/1902 - at Furman</t>
  </si>
  <si>
    <t>W 5-2</t>
  </si>
  <si>
    <t>at Charleston Football Association</t>
  </si>
  <si>
    <t>T 5-5</t>
  </si>
  <si>
    <t>4-3-4</t>
  </si>
  <si>
    <t>*** 10/13</t>
  </si>
  <si>
    <t>vs Washington &amp; Lee (Lynchburg)</t>
  </si>
  <si>
    <t>W 11-6</t>
  </si>
  <si>
    <t>vs North Carolina (Roanoke)</t>
  </si>
  <si>
    <t>Georgetown</t>
  </si>
  <si>
    <t>W 50-5</t>
  </si>
  <si>
    <t>3-2-1</t>
  </si>
  <si>
    <t>10/20/1902 - vs St. Albans</t>
  </si>
  <si>
    <t>1-1-1</t>
  </si>
  <si>
    <t>L 0-15</t>
  </si>
  <si>
    <t>West Virginia Normal School</t>
  </si>
  <si>
    <t>vs NC A&amp;M (Roanoke)</t>
  </si>
  <si>
    <t>2-3-2</t>
  </si>
  <si>
    <t>10/31/1902 - Guilford</t>
  </si>
  <si>
    <t>*** 10/31</t>
  </si>
  <si>
    <t>L 5-29</t>
  </si>
  <si>
    <t>W 35-0</t>
  </si>
  <si>
    <t>W 41-0</t>
  </si>
  <si>
    <t>4-3-1</t>
  </si>
  <si>
    <t>11/8/1902 - North Carolina</t>
  </si>
  <si>
    <t>W 17-10</t>
  </si>
  <si>
    <t>*** 11/8</t>
  </si>
  <si>
    <t>vs Georgetown (Norfolk)</t>
  </si>
  <si>
    <t>5-0-1</t>
  </si>
  <si>
    <t>5-1-3</t>
  </si>
  <si>
    <t>11/14/1902 - Oak Ridge Institute</t>
  </si>
  <si>
    <t>vs Danville Military Institute (Greensboro)</t>
  </si>
  <si>
    <t>*** 11/14</t>
  </si>
  <si>
    <t>1-3</t>
  </si>
  <si>
    <t>11/21/1902 - vs Davidson</t>
  </si>
  <si>
    <t>3-4</t>
  </si>
  <si>
    <t>W 28-5</t>
  </si>
  <si>
    <t>L 5-28</t>
  </si>
  <si>
    <t>L 0-35</t>
  </si>
  <si>
    <t>L 0-27</t>
  </si>
  <si>
    <t>Robert Bingham School</t>
  </si>
  <si>
    <t>W 7-6</t>
  </si>
  <si>
    <t>vs NC A&amp;M (Greensboro)</t>
  </si>
  <si>
    <t>*** 11/21</t>
  </si>
  <si>
    <t>4-4-1</t>
  </si>
  <si>
    <t>11/27/1902 - Richmond</t>
  </si>
  <si>
    <t>L 0-33</t>
  </si>
  <si>
    <t>L 0-29</t>
  </si>
  <si>
    <t>Hoge Memorial Military Academy</t>
  </si>
  <si>
    <t>W 50-0</t>
  </si>
  <si>
    <t>W 23-11</t>
  </si>
  <si>
    <t>*** 11/27</t>
  </si>
  <si>
    <t>L 5-30</t>
  </si>
  <si>
    <t>3-2</t>
  </si>
  <si>
    <t>10/5/1903 - Guilford</t>
  </si>
  <si>
    <t>L 0-50</t>
  </si>
  <si>
    <t>Old Point Comfort College</t>
  </si>
  <si>
    <t>L 6-28</t>
  </si>
  <si>
    <t>*** 10/17</t>
  </si>
  <si>
    <t>W 21-0</t>
  </si>
  <si>
    <t>vs North Carolina (Norfolk)</t>
  </si>
  <si>
    <t>vs Davidson (Roanoke)</t>
  </si>
  <si>
    <t>10/19/1903 - at Danville Military Institute</t>
  </si>
  <si>
    <t>Hapden-Sydney</t>
  </si>
  <si>
    <t>https://www.newspapers.com/image/145495681/?terms=Danville%2B%22Military%2BInstitute%22</t>
  </si>
  <si>
    <t>3-0</t>
  </si>
  <si>
    <t>3-1-1</t>
  </si>
  <si>
    <t>10/28/1903 - vs Clemson</t>
  </si>
  <si>
    <t>W 73-0</t>
  </si>
  <si>
    <t>vs NC A&amp;M (Columbus)</t>
  </si>
  <si>
    <t>XXX</t>
  </si>
  <si>
    <t>L 6-11</t>
  </si>
  <si>
    <t>vs Cumberland (Montgomery AL)</t>
  </si>
  <si>
    <t>4-1-1</t>
  </si>
  <si>
    <t>11/2/1903 - Kentucky University</t>
  </si>
  <si>
    <t>Kentucky Military Institute</t>
  </si>
  <si>
    <t>W 11-2</t>
  </si>
  <si>
    <t>W 52-0</t>
  </si>
  <si>
    <t>Williamsburg College</t>
  </si>
  <si>
    <t>St. Xavier College</t>
  </si>
  <si>
    <t>Indiana</t>
  </si>
  <si>
    <t>W 18-5</t>
  </si>
  <si>
    <t>7-1</t>
  </si>
  <si>
    <t>11/7/1903 - at Clemson</t>
  </si>
  <si>
    <t>11/11/1903 - Guilford</t>
  </si>
  <si>
    <t>*** 11/11</t>
  </si>
  <si>
    <t>11/14/1903 - South Carolina</t>
  </si>
  <si>
    <t>Columbia YMCA</t>
  </si>
  <si>
    <t>Welch Neck High School</t>
  </si>
  <si>
    <t>W 78-0</t>
  </si>
  <si>
    <t>W 29-12</t>
  </si>
  <si>
    <t>8-2</t>
  </si>
  <si>
    <t>11/23/1903 - Richmond</t>
  </si>
  <si>
    <t>Petersburg YMCA</t>
  </si>
  <si>
    <t>Fredericksburg College</t>
  </si>
  <si>
    <t>at Danville Military Institute</t>
  </si>
  <si>
    <t>vs Hampden-Sydney (Norfolk)</t>
  </si>
  <si>
    <t>W 22-6</t>
  </si>
  <si>
    <t>William &amp; Mary</t>
  </si>
  <si>
    <t>L 0-53</t>
  </si>
  <si>
    <t>at Tulane</t>
  </si>
  <si>
    <t>L 5-18</t>
  </si>
  <si>
    <t>Virginia Intercollegiate Athletic Association</t>
  </si>
  <si>
    <t>George Washington (Columbian)</t>
  </si>
  <si>
    <t>6-1-1</t>
  </si>
  <si>
    <t>6-3-1</t>
  </si>
  <si>
    <t>11/26/1903 - Washington &amp; Lee</t>
  </si>
  <si>
    <t>Miller School</t>
  </si>
  <si>
    <t>W 15-5</t>
  </si>
  <si>
    <t>at Randolph-Macon</t>
  </si>
  <si>
    <t>9/24/1904 - Guilford</t>
  </si>
  <si>
    <t>*** 9/24</t>
  </si>
  <si>
    <t>1-5</t>
  </si>
  <si>
    <t>L 4-21</t>
  </si>
  <si>
    <t>L 0-59</t>
  </si>
  <si>
    <t>vs Davidson (Winston-Salem)</t>
  </si>
  <si>
    <t>L 6-36</t>
  </si>
  <si>
    <t>*** 10/1</t>
  </si>
  <si>
    <t>Marine Officers</t>
  </si>
  <si>
    <t>W 26-6</t>
  </si>
  <si>
    <t>St. Johns of Maryland</t>
  </si>
  <si>
    <t>Augusta Military Academy</t>
  </si>
  <si>
    <t>3-5</t>
  </si>
  <si>
    <t>10/8/1904 - at Vanderbilt</t>
  </si>
  <si>
    <t>vs Mississippi A&amp;M (Columbus, MS)</t>
  </si>
  <si>
    <t>W 61-0</t>
  </si>
  <si>
    <t>Georgetown (KY)</t>
  </si>
  <si>
    <t>W 66-0</t>
  </si>
  <si>
    <t>*** 10/8</t>
  </si>
  <si>
    <t>Ole Miss</t>
  </si>
  <si>
    <t>W 69-0</t>
  </si>
  <si>
    <t>Missouri Mines</t>
  </si>
  <si>
    <t>W 29-4</t>
  </si>
  <si>
    <t>Centre</t>
  </si>
  <si>
    <t>W 97-0</t>
  </si>
  <si>
    <t>Nashville</t>
  </si>
  <si>
    <t>W 81-0</t>
  </si>
  <si>
    <t>at Central</t>
  </si>
  <si>
    <t>10/15/1904 - at Virginia</t>
  </si>
  <si>
    <t>at Penn</t>
  </si>
  <si>
    <t>*** 10/15</t>
  </si>
  <si>
    <t>vs Carlisle (Norfolk)</t>
  </si>
  <si>
    <t>L 6-14</t>
  </si>
  <si>
    <t>Navy</t>
  </si>
  <si>
    <t>vs North Carolina (Richmond)</t>
  </si>
  <si>
    <t>W 12-11</t>
  </si>
  <si>
    <t>11/5/1904 - South Carolina</t>
  </si>
  <si>
    <t>Welsh Neck High School</t>
  </si>
  <si>
    <t>W 21-4</t>
  </si>
  <si>
    <t>W 2-0</t>
  </si>
  <si>
    <t>*** 11/5</t>
  </si>
  <si>
    <t>vs Washington &amp; Lee (Sumter, SC)</t>
  </si>
  <si>
    <t>W 25-0</t>
  </si>
  <si>
    <t>11/7/1904 - at Guilford</t>
  </si>
  <si>
    <t>1-4</t>
  </si>
  <si>
    <t>5-3</t>
  </si>
  <si>
    <t>11/16/1904 - at North Carolina</t>
  </si>
  <si>
    <t>vs Norfolk Athletic Club (Greensboro)</t>
  </si>
  <si>
    <t>*** 11/16</t>
  </si>
  <si>
    <t>L 11-12</t>
  </si>
  <si>
    <t>5-1-1</t>
  </si>
  <si>
    <t>5-2-2</t>
  </si>
  <si>
    <t>11/19/1904 - at Georgia Tech</t>
  </si>
  <si>
    <t>Camp McPherson</t>
  </si>
  <si>
    <t>Florida State College</t>
  </si>
  <si>
    <t>Mooney</t>
  </si>
  <si>
    <t>W 51-0</t>
  </si>
  <si>
    <t>Univ. of Florida Lake City</t>
  </si>
  <si>
    <t>W 77-0</t>
  </si>
  <si>
    <t>W 23-6</t>
  </si>
  <si>
    <t>Tennessee Medical College</t>
  </si>
  <si>
    <t>W 59-0</t>
  </si>
  <si>
    <t>Cumberland</t>
  </si>
  <si>
    <t xml:space="preserve"> </t>
  </si>
  <si>
    <t>8-1-1</t>
  </si>
  <si>
    <t>11/24/1904 - Clemson</t>
  </si>
  <si>
    <t>vs Alabama (Birmingham)</t>
  </si>
  <si>
    <t>vs Sewanee (Columbia)</t>
  </si>
  <si>
    <t>L 5-11</t>
  </si>
  <si>
    <t>9/23/1905 - Richmond</t>
  </si>
  <si>
    <t>*** 9/23</t>
  </si>
  <si>
    <t>3-5-2</t>
  </si>
  <si>
    <t>Virginia Boat Club</t>
  </si>
  <si>
    <t>W 13-5</t>
  </si>
  <si>
    <t>at St. Johns of Maryland</t>
  </si>
  <si>
    <t>Richmond Indian School</t>
  </si>
  <si>
    <t>W 23-4</t>
  </si>
  <si>
    <t>T 18-18</t>
  </si>
  <si>
    <t>*** 9/29</t>
  </si>
  <si>
    <t>vs North Carolina (Winston-Salem)</t>
  </si>
  <si>
    <t>W 11-10</t>
  </si>
  <si>
    <t>2-5-1</t>
  </si>
  <si>
    <t>10/7/1905 - at Virginia</t>
  </si>
  <si>
    <t>W 30-5</t>
  </si>
  <si>
    <t>vs Carlisle (Richmond)</t>
  </si>
  <si>
    <t>vs Bucknell (Norfolk)</t>
  </si>
  <si>
    <t>W 15-11</t>
  </si>
  <si>
    <t>at George Washington [Columbian]</t>
  </si>
  <si>
    <t>6-4</t>
  </si>
  <si>
    <t>10/26/1905 - at South Carolina</t>
  </si>
  <si>
    <t>W 19-6</t>
  </si>
  <si>
    <t>vs South Carolina (Roanoke)</t>
  </si>
  <si>
    <t>at The Citadel</t>
  </si>
  <si>
    <t>W 47-0</t>
  </si>
  <si>
    <t>4-2-1</t>
  </si>
  <si>
    <t>11/11/1905 - North Carolina</t>
  </si>
  <si>
    <t>L 0-38</t>
  </si>
  <si>
    <t>L 6-35</t>
  </si>
  <si>
    <t>vs Georgetown (Richmond)</t>
  </si>
  <si>
    <t>11/18/1905 - Washington &amp; Lee</t>
  </si>
  <si>
    <t>Hampden-Sydney</t>
  </si>
  <si>
    <t>11/30/1905 - vs Davidson (Winston-Salem)</t>
  </si>
  <si>
    <t>vs Auburn (Birmingham)</t>
  </si>
  <si>
    <t>vs NC A&amp;M (Winston-Salem)</t>
  </si>
  <si>
    <t>10/1/1906 - Randolph-Macon</t>
  </si>
  <si>
    <t>L 0-39</t>
  </si>
  <si>
    <t>at William &amp; Mary</t>
  </si>
  <si>
    <t>10/6/1906 - at Virginia</t>
  </si>
  <si>
    <t>W 38-5</t>
  </si>
  <si>
    <t>W 4-0</t>
  </si>
  <si>
    <t>vs Bucknell</t>
  </si>
  <si>
    <t>L 17-18</t>
  </si>
  <si>
    <t>7-2-2</t>
  </si>
  <si>
    <t>10/11/1906 - Richmond</t>
  </si>
  <si>
    <t>Woodberry Forest</t>
  </si>
  <si>
    <t>W 1-0</t>
  </si>
  <si>
    <t>W 29-6</t>
  </si>
  <si>
    <t>vs William &amp; Mary (Newport News)</t>
  </si>
  <si>
    <t>6-5-1</t>
  </si>
  <si>
    <t>W 15-6</t>
  </si>
  <si>
    <t>4-4</t>
  </si>
  <si>
    <t>W 33-5</t>
  </si>
  <si>
    <t>vs Davidson (Lynchburg)</t>
  </si>
  <si>
    <t>10/15/1906 - at Washington &amp; Lee</t>
  </si>
  <si>
    <t>vs Randolph-Macon (Lynchburg)</t>
  </si>
  <si>
    <t>W 8-4</t>
  </si>
  <si>
    <t>Wilson Field</t>
  </si>
  <si>
    <t>VA - Williamsburg</t>
  </si>
  <si>
    <t>10/18/1906 - William &amp; Mary</t>
  </si>
  <si>
    <t>Norfolk High School</t>
  </si>
  <si>
    <t>Brambleton Business College</t>
  </si>
  <si>
    <t>vs Richmond (Newport News)</t>
  </si>
  <si>
    <t>2-6</t>
  </si>
  <si>
    <t>10/25/1906 - vs Clemson</t>
  </si>
  <si>
    <t>vs NC A&amp;M (Columbia)</t>
  </si>
  <si>
    <t>1-0-1</t>
  </si>
  <si>
    <t>4-0-3</t>
  </si>
  <si>
    <t>Mercer</t>
  </si>
  <si>
    <t>p. 91</t>
  </si>
  <si>
    <t>10/27/1906 - at Georgia</t>
  </si>
  <si>
    <t>*** 10/27</t>
  </si>
  <si>
    <t>at Mercer</t>
  </si>
  <si>
    <t>vs Auburn (Macon)</t>
  </si>
  <si>
    <t>at Savannah Athletic Club</t>
  </si>
  <si>
    <t>2-4-1</t>
  </si>
  <si>
    <t>Herty Field</t>
  </si>
  <si>
    <t>SC - Athens</t>
  </si>
  <si>
    <t>Protested due to eligibility dispute</t>
  </si>
  <si>
    <t>Protested due to eligibility dispute; Ruled out by NC AA</t>
  </si>
  <si>
    <t>Canceled due to eligibility dispute</t>
  </si>
  <si>
    <t>11/10/1906 - at North Carolina</t>
  </si>
  <si>
    <t>vs Lafayette (Richmond)</t>
  </si>
  <si>
    <t>L 8-26</t>
  </si>
  <si>
    <t>L 0-40</t>
  </si>
  <si>
    <t>1-3-2</t>
  </si>
  <si>
    <t>1-4-2</t>
  </si>
  <si>
    <t>Virginia Polytechnic Institute</t>
  </si>
  <si>
    <t>vs William &amp; Mary (Roanoke)</t>
  </si>
  <si>
    <t>vs NC A&amp;M (Richmond)</t>
  </si>
  <si>
    <t>4-2-2</t>
  </si>
  <si>
    <t>Broad Street Park</t>
  </si>
  <si>
    <t>VA - Salem</t>
  </si>
  <si>
    <t>11/24/1906 - Roanoke</t>
  </si>
  <si>
    <t>Fishburn Military Academy</t>
  </si>
  <si>
    <t>L 6-29</t>
  </si>
  <si>
    <t>L 18-0</t>
  </si>
  <si>
    <t>L 17-0</t>
  </si>
  <si>
    <t>at Staunton Military Academy</t>
  </si>
  <si>
    <r>
      <t xml:space="preserve">N/A  - Randolph Macon </t>
    </r>
    <r>
      <rPr>
        <b/>
        <sz val="11"/>
        <color theme="1"/>
        <rFont val="Calibri"/>
        <family val="2"/>
        <scheme val="minor"/>
      </rPr>
      <t>ACADEMY</t>
    </r>
  </si>
  <si>
    <t>0-1-4</t>
  </si>
  <si>
    <t>Canceled; reason unclear</t>
  </si>
  <si>
    <t>Lafayette Field</t>
  </si>
  <si>
    <t>VA - Norfolk</t>
  </si>
  <si>
    <t>Canceled by William &amp; Mary</t>
  </si>
  <si>
    <t>9/30/1907 - Randolph-Macon</t>
  </si>
  <si>
    <t>*** 9/30</t>
  </si>
  <si>
    <t>Virginia Medical College</t>
  </si>
  <si>
    <t>W 20-0</t>
  </si>
  <si>
    <t>at Hampden-Sydney</t>
  </si>
  <si>
    <t>vs William &amp; Mary (Richmond)</t>
  </si>
  <si>
    <t>W 14-10</t>
  </si>
  <si>
    <t>Fredericksburg</t>
  </si>
  <si>
    <t>vs William &amp; Mary (Norfolk)</t>
  </si>
  <si>
    <t>10/7/1907 - William &amp; Mary</t>
  </si>
  <si>
    <t>L 0-58</t>
  </si>
  <si>
    <t>"Old" Campus Athletic Field (Chapel Hill)</t>
  </si>
  <si>
    <t>at A&amp;M</t>
  </si>
  <si>
    <t>vs Randolph-Macon</t>
  </si>
  <si>
    <t>L 0-14</t>
  </si>
  <si>
    <t>vs Virginia Medical College (Petersburg)</t>
  </si>
  <si>
    <t>vs Randolph-Macon (Richmond)</t>
  </si>
  <si>
    <t>W 12-4</t>
  </si>
  <si>
    <t>L 0-48</t>
  </si>
  <si>
    <t>Fort Monroe</t>
  </si>
  <si>
    <t>W 15/18-0</t>
  </si>
  <si>
    <t>10/12/1907 - at Richmond</t>
  </si>
  <si>
    <t>Maryland A&amp;M</t>
  </si>
  <si>
    <t>L 4-7</t>
  </si>
  <si>
    <t>L 11-13</t>
  </si>
  <si>
    <t>L 10-14</t>
  </si>
  <si>
    <t>3-6</t>
  </si>
  <si>
    <t>Coach</t>
  </si>
  <si>
    <t>Perrin Busbee</t>
  </si>
  <si>
    <t>W. C. Riddick</t>
  </si>
  <si>
    <t>Bart Gatling</t>
  </si>
  <si>
    <t>George Stephens</t>
  </si>
  <si>
    <t>Dr. John McKee</t>
  </si>
  <si>
    <t>Joel Whitaker</t>
  </si>
  <si>
    <t>James McRae</t>
  </si>
  <si>
    <t>Arthur Devlin</t>
  </si>
  <si>
    <t>W. S. Kienholz</t>
  </si>
  <si>
    <t>George S. Whitney</t>
  </si>
  <si>
    <t>Willie Heston</t>
  </si>
  <si>
    <t>Mickey Whitehurst</t>
  </si>
  <si>
    <t>Opp Coach</t>
  </si>
  <si>
    <t>Unknown</t>
  </si>
  <si>
    <t>E. Walter Sikes</t>
  </si>
  <si>
    <t>No Coach</t>
  </si>
  <si>
    <t>Vernon K. Irvine</t>
  </si>
  <si>
    <t>Tom Daniels</t>
  </si>
  <si>
    <t>Thomas Trenchard</t>
  </si>
  <si>
    <t>Dana Rucker</t>
  </si>
  <si>
    <t>George W. Bryant</t>
  </si>
  <si>
    <t>Chase Adams</t>
  </si>
  <si>
    <t>Walter Haviland</t>
  </si>
  <si>
    <t>Augustine Blair</t>
  </si>
  <si>
    <t>Bill Wertenbaker</t>
  </si>
  <si>
    <t>William A. Reynolds</t>
  </si>
  <si>
    <t>William Preston Gray</t>
  </si>
  <si>
    <t>Charles Howard Lewis</t>
  </si>
  <si>
    <t>H. C. Petty</t>
  </si>
  <si>
    <t>Walter Riggs</t>
  </si>
  <si>
    <t>J. T. Bennett</t>
  </si>
  <si>
    <t>R. N. Wilson</t>
  </si>
  <si>
    <t>Roy Williams</t>
  </si>
  <si>
    <t>Eugene Davis</t>
  </si>
  <si>
    <t>Irving O. Hunt</t>
  </si>
  <si>
    <t>John A. Brewin</t>
  </si>
  <si>
    <t>E. E. Jones</t>
  </si>
  <si>
    <t>Charles O. Jenkins</t>
  </si>
  <si>
    <t>John Heisman</t>
  </si>
  <si>
    <t>Charles Roller</t>
  </si>
  <si>
    <t>R. R. Brown</t>
  </si>
  <si>
    <t>James Baird</t>
  </si>
  <si>
    <t>Herman Olcott</t>
  </si>
  <si>
    <t>Graham Hobson</t>
  </si>
  <si>
    <t>Bill Roper</t>
  </si>
  <si>
    <t>Charles Augustus Lueder</t>
  </si>
  <si>
    <t>R. R. Sheffield</t>
  </si>
  <si>
    <t>Bob Williams</t>
  </si>
  <si>
    <t>Fred Vail</t>
  </si>
  <si>
    <t>Dan McGugin</t>
  </si>
  <si>
    <t>George Sanford</t>
  </si>
  <si>
    <t>Christie Benet</t>
  </si>
  <si>
    <t>John C. O'Connor</t>
  </si>
  <si>
    <t>Shack Shealy</t>
  </si>
  <si>
    <t>Ira Johnson</t>
  </si>
  <si>
    <t>E. A. Dunlop</t>
  </si>
  <si>
    <t>William C. Cole</t>
  </si>
  <si>
    <t>D. W. Baillet</t>
  </si>
  <si>
    <t>Murray Russel</t>
  </si>
  <si>
    <t>H. W. Withers</t>
  </si>
  <si>
    <t>Frank Connor</t>
  </si>
  <si>
    <t>Sally Miles</t>
  </si>
  <si>
    <t>James H. Barry</t>
  </si>
  <si>
    <t>Hammond Johnson</t>
  </si>
  <si>
    <t>Rice Warren</t>
  </si>
  <si>
    <t>R. S. Graham &amp; J. B. Pollard</t>
  </si>
  <si>
    <t>12-0</t>
  </si>
  <si>
    <t>6-0</t>
  </si>
  <si>
    <t>4-0</t>
  </si>
  <si>
    <t>0-18</t>
  </si>
  <si>
    <t>4-6</t>
  </si>
  <si>
    <t>6-6</t>
  </si>
  <si>
    <t>7-0</t>
  </si>
  <si>
    <t>11-0</t>
  </si>
  <si>
    <t>13-0</t>
  </si>
  <si>
    <t>18-0</t>
  </si>
  <si>
    <t>0-16</t>
  </si>
  <si>
    <t>0-17</t>
  </si>
  <si>
    <t>0-20</t>
  </si>
  <si>
    <t>2-12</t>
  </si>
  <si>
    <t>0-6</t>
  </si>
  <si>
    <t>3rd Q Diff (end)</t>
  </si>
  <si>
    <t>6-24</t>
  </si>
  <si>
    <t>0-32</t>
  </si>
  <si>
    <t>0-10</t>
  </si>
  <si>
    <t>6-17</t>
  </si>
  <si>
    <t>10-0</t>
  </si>
  <si>
    <t>11-5</t>
  </si>
  <si>
    <t>0</t>
  </si>
  <si>
    <t>5-5</t>
  </si>
  <si>
    <t>0-39</t>
  </si>
  <si>
    <t>0-12</t>
  </si>
  <si>
    <t>15-0</t>
  </si>
  <si>
    <t>6-5</t>
  </si>
  <si>
    <t>17-5</t>
  </si>
  <si>
    <t>23-0</t>
  </si>
  <si>
    <t>35-0</t>
  </si>
  <si>
    <t>39-0</t>
  </si>
  <si>
    <t>33-0</t>
  </si>
  <si>
    <t>6; 12; 6</t>
  </si>
  <si>
    <t>-6</t>
  </si>
  <si>
    <t>6</t>
  </si>
  <si>
    <t>-4; -10; -14; -18; -22</t>
  </si>
  <si>
    <t>6; 0; 6</t>
  </si>
  <si>
    <t>-6; -2;  2</t>
  </si>
  <si>
    <t>-4; -10; -16; -22; -26; -32; -38; -44</t>
  </si>
  <si>
    <t>-4; -10; -16</t>
  </si>
  <si>
    <t>6; 12; 16; 20</t>
  </si>
  <si>
    <t>-6; -10; -16; -20; -26; -30; -36</t>
  </si>
  <si>
    <t>6; 0; -6; -12; -18; -24; -30; -36</t>
  </si>
  <si>
    <t>NCSU Point Diff (check for 'unknown' shutouts)</t>
  </si>
  <si>
    <t>-6; -12; -18; -24; -28; -32; -36; -40</t>
  </si>
  <si>
    <t>-6; -10; -14; -18</t>
  </si>
  <si>
    <t>Unknown - shutout</t>
  </si>
  <si>
    <t>-5; -11; -17; -22; -28; -34</t>
  </si>
  <si>
    <t>-5; 1; -5; -11; -16; -10</t>
  </si>
  <si>
    <t>5; 10; 15; 21</t>
  </si>
  <si>
    <t>6; 12; 18</t>
  </si>
  <si>
    <t>6; 1; 5; 0</t>
  </si>
  <si>
    <t>-6; -12; -18; -24</t>
  </si>
  <si>
    <t>-5; -10</t>
  </si>
  <si>
    <t>-5</t>
  </si>
  <si>
    <t>-6; -12; -10; -16</t>
  </si>
  <si>
    <t>5; 0; -6</t>
  </si>
  <si>
    <t>-6; -12</t>
  </si>
  <si>
    <t>-6; -11; -17</t>
  </si>
  <si>
    <t>-5; 1</t>
  </si>
  <si>
    <t>5; -1; -6; -12</t>
  </si>
  <si>
    <t>5; 10</t>
  </si>
  <si>
    <t>-5; -10; -16; -21; -27; -33; -39</t>
  </si>
  <si>
    <t>-6; -12; -18; -24; -30</t>
  </si>
  <si>
    <t>6; 12; 17; 23; 29; 34</t>
  </si>
  <si>
    <t>5; 10; 15; 21; 15; 21</t>
  </si>
  <si>
    <t>-5; -3</t>
  </si>
  <si>
    <t>-5; 1; -5</t>
  </si>
  <si>
    <t>5</t>
  </si>
  <si>
    <t>5; 11; 17; 12; 18; 24</t>
  </si>
  <si>
    <t>6; 12; 18; 24; 30; 25</t>
  </si>
  <si>
    <t>6; 12; 18; 23; 39; 34; 40; 45; 50</t>
  </si>
  <si>
    <t>-5; -11; -16</t>
  </si>
  <si>
    <t>-6; -12; -18</t>
  </si>
  <si>
    <t>5; 11; 17; 23; 29; 35; 41; 47; 53</t>
  </si>
  <si>
    <t>-6; 0</t>
  </si>
  <si>
    <t>-6; -10</t>
  </si>
  <si>
    <t>6; 12; 18; 24; 29</t>
  </si>
  <si>
    <t>5; 10; 16; 21; 27; 33; 39</t>
  </si>
  <si>
    <t>4; 8; 13; 17</t>
  </si>
  <si>
    <t>4; 0</t>
  </si>
  <si>
    <t>6; 10; 15; 20</t>
  </si>
  <si>
    <t>5; 7; 3</t>
  </si>
  <si>
    <t>10/18/1907 - Roanoke</t>
  </si>
  <si>
    <t>at Washington &amp; Lee (practice game/reserves?)</t>
  </si>
  <si>
    <t>6; 12; 17; 22</t>
  </si>
  <si>
    <t>6; 11</t>
  </si>
  <si>
    <t>10/28/1907 - at Richmond</t>
  </si>
  <si>
    <t>***10/28</t>
  </si>
  <si>
    <t>11/16/1907 - vs Davidson</t>
  </si>
  <si>
    <t>11/20/1907 - All-Stars of North Carolina</t>
  </si>
  <si>
    <t>***11/20</t>
  </si>
  <si>
    <t>All-Stars of North Carolina</t>
  </si>
  <si>
    <t>5; 0</t>
  </si>
  <si>
    <t>declined</t>
  </si>
  <si>
    <t>11/28/1907 - vs Virginia (Norfolk)</t>
  </si>
  <si>
    <t>St. John's (Maryland)</t>
  </si>
  <si>
    <t>W 22-4</t>
  </si>
  <si>
    <t>Gallaudet</t>
  </si>
  <si>
    <t>W 18-17</t>
  </si>
  <si>
    <t>W 9-4</t>
  </si>
  <si>
    <t>vs Sewanee (Norfolk)</t>
  </si>
  <si>
    <t>vs NC A&amp;M (Norfolk)</t>
  </si>
  <si>
    <t>L 4-10</t>
  </si>
  <si>
    <t>***11/28</t>
  </si>
  <si>
    <t>6-2-1</t>
  </si>
  <si>
    <t>Thanksgiving Day; Jamestown Exposition</t>
  </si>
  <si>
    <t>-4; 2; 6</t>
  </si>
  <si>
    <t>Dublin Institute</t>
  </si>
  <si>
    <t>H. M. Moomaw</t>
  </si>
  <si>
    <t>A. P. Hall Jr.</t>
  </si>
  <si>
    <t>5; 10; 15; 20; 25</t>
  </si>
  <si>
    <t>20-0</t>
  </si>
  <si>
    <t>10/3/1908 - Wake Forest</t>
  </si>
  <si>
    <t>*** 10/3</t>
  </si>
  <si>
    <t>Athletic Field</t>
  </si>
  <si>
    <t>L 0-25</t>
  </si>
  <si>
    <t>Warrenton High School</t>
  </si>
  <si>
    <t>L 4-31</t>
  </si>
  <si>
    <t>L 0-76</t>
  </si>
  <si>
    <t>George E. O'Hearn</t>
  </si>
  <si>
    <t>10/12/1908 - William &amp; Mary</t>
  </si>
  <si>
    <t>vs Randolph-Macon (Petersburg, VA)</t>
  </si>
  <si>
    <t>Brambleton Athletic Club</t>
  </si>
  <si>
    <t>Fort Monroe Heavy Artillery</t>
  </si>
  <si>
    <t>vs Randolph-Macon (Richmond, VA)</t>
  </si>
  <si>
    <t>vs Hampden-Sidney (Petersburg, VA)</t>
  </si>
  <si>
    <t>W 21-18</t>
  </si>
  <si>
    <t>vs Hampden-Sidney (Newport News, VA)</t>
  </si>
  <si>
    <t>at St. Vincents</t>
  </si>
  <si>
    <t>link</t>
  </si>
  <si>
    <t>4-6-1</t>
  </si>
  <si>
    <t>24-0</t>
  </si>
  <si>
    <t>6; 12; 18; 24</t>
  </si>
  <si>
    <t>2nd P. Time</t>
  </si>
  <si>
    <t>1st P. Time</t>
  </si>
  <si>
    <t>3rd P. Time</t>
  </si>
  <si>
    <t>4th P. Time</t>
  </si>
  <si>
    <t>15/20</t>
  </si>
  <si>
    <t>30/40</t>
  </si>
  <si>
    <t>20/25</t>
  </si>
  <si>
    <t>40/50</t>
  </si>
  <si>
    <t>50?</t>
  </si>
  <si>
    <t>25?</t>
  </si>
  <si>
    <t>Washington, DC</t>
  </si>
  <si>
    <t>SAIAA</t>
  </si>
  <si>
    <t>William Newman</t>
  </si>
  <si>
    <t>1st Half Score (end)</t>
  </si>
  <si>
    <t>1st Q Score (end)</t>
  </si>
  <si>
    <t>10/15/1908 - Georgetown</t>
  </si>
  <si>
    <t>***10/15</t>
  </si>
  <si>
    <t>Fordham</t>
  </si>
  <si>
    <t>10/24/1908 - Randolph-Macon</t>
  </si>
  <si>
    <t>at Fredericksburg</t>
  </si>
  <si>
    <t>vs William &amp; Mary (Petersburg)</t>
  </si>
  <si>
    <t>Richmond Howitzers</t>
  </si>
  <si>
    <t>Medical College of Virginia</t>
  </si>
  <si>
    <t>vs Hampden-Sydney (Petersburg)</t>
  </si>
  <si>
    <t>*** 10/24</t>
  </si>
  <si>
    <t>L 2-12</t>
  </si>
  <si>
    <t>Canceled; Randolph-Macon coach left</t>
  </si>
  <si>
    <t>Merritt Cooke Jr.</t>
  </si>
  <si>
    <t>10/31/1908 - vs Virginia</t>
  </si>
  <si>
    <t>St. John's (MD)</t>
  </si>
  <si>
    <t>W 18-9</t>
  </si>
  <si>
    <t>W 31-0</t>
  </si>
  <si>
    <t>7-0-1</t>
  </si>
  <si>
    <t>Game shortened due to disagreement about line judge</t>
  </si>
  <si>
    <t>J. H. "Dutch" Levine</t>
  </si>
  <si>
    <t>11/7/1908 - vs Davidson</t>
  </si>
  <si>
    <t>W 13-0</t>
  </si>
  <si>
    <t>NC Medical College</t>
  </si>
  <si>
    <t>W 31-4</t>
  </si>
  <si>
    <t>[13-0]</t>
  </si>
  <si>
    <t>[13-2]</t>
  </si>
  <si>
    <t>[11-0]</t>
  </si>
  <si>
    <t>vs Clemson (Columbia)</t>
  </si>
  <si>
    <t>[0-0]</t>
  </si>
  <si>
    <t>[0-2]</t>
  </si>
  <si>
    <t>6; 10; 16; 21</t>
  </si>
  <si>
    <t>L 0-2</t>
  </si>
  <si>
    <t>5-3-1</t>
  </si>
  <si>
    <t>11/14/1908 - at Washington &amp; Lee</t>
  </si>
  <si>
    <t>vs North Carolina (Newport News)</t>
  </si>
  <si>
    <t>W 35-5</t>
  </si>
  <si>
    <t>Eastern (VA)</t>
  </si>
  <si>
    <t>L 4-15</t>
  </si>
  <si>
    <t>at George Washington</t>
  </si>
  <si>
    <t>L 6-44</t>
  </si>
  <si>
    <t>Fishburne Military Academy</t>
  </si>
  <si>
    <t>W 17-11</t>
  </si>
  <si>
    <t>5-2-1</t>
  </si>
  <si>
    <t>Canceled due to snow</t>
  </si>
  <si>
    <t>11/21/1908 - Wake Forest</t>
  </si>
  <si>
    <t>R. M. Brown</t>
  </si>
  <si>
    <t>vs Virginia Military Institute (Roanoke)</t>
  </si>
  <si>
    <t>vs Virginia Polytechnic Institute (Roanoke)</t>
  </si>
  <si>
    <t>at Virginia Polytechnic Institute</t>
  </si>
  <si>
    <t>vs Virginia Polytechnic Institute (Richmond)</t>
  </si>
  <si>
    <t>vs Virginia Polytechnic Institute (Lynchburg)</t>
  </si>
  <si>
    <t>vs Virginia Polytechnic Institute</t>
  </si>
  <si>
    <t>vs Virginia Polytechnic Institute (Winston-Salem)</t>
  </si>
  <si>
    <t>vs Virginia Polytechnic Institute (Greensboro)</t>
  </si>
  <si>
    <t>10/26/1900 - Virginia Polytechnic Institute</t>
  </si>
  <si>
    <t>10/18/1902 - at Virginia Polytechnic Institute</t>
  </si>
  <si>
    <t>10/17/1903 - at Virginia Polytechnic Institute</t>
  </si>
  <si>
    <t>11/12/1904 - vs Virginia Polytechnic Institute</t>
  </si>
  <si>
    <t>11/29/1906 - vs Virginia Polytechnic Institute</t>
  </si>
  <si>
    <t>11/26/1908 - vs Virginia Polytechnic Institute</t>
  </si>
  <si>
    <t>W 15-4</t>
  </si>
  <si>
    <t>George Washington</t>
  </si>
  <si>
    <t>*** 11/26</t>
  </si>
  <si>
    <t>5-4</t>
  </si>
  <si>
    <t>Conf Game</t>
  </si>
  <si>
    <t>Min. A</t>
  </si>
  <si>
    <t>Max A.</t>
  </si>
  <si>
    <t>UNKNOWN</t>
  </si>
  <si>
    <t>Eddie L. Green</t>
  </si>
  <si>
    <t>TN - Maryville</t>
  </si>
  <si>
    <t>10/2/1908 - Maryville</t>
  </si>
  <si>
    <t>A. E. Mitchell</t>
  </si>
  <si>
    <t>L 0-3</t>
  </si>
  <si>
    <t>at Central University (KY)</t>
  </si>
  <si>
    <t>Tennessee Deaf &amp; Dumb School</t>
  </si>
  <si>
    <t>L 6-20</t>
  </si>
  <si>
    <t>at University of Chattanooga</t>
  </si>
  <si>
    <t>Mooney School (of Harriman)</t>
  </si>
  <si>
    <t>previously located in Murfreesboro, moved to Harriman starting for 1909 school year</t>
  </si>
  <si>
    <t>U.S. Grant University (Tennessee Wesleyan)</t>
  </si>
  <si>
    <t>Blount County Polytechnic High School</t>
  </si>
  <si>
    <t>6; 11; 13; 19; 25; 31; 36; 39</t>
  </si>
  <si>
    <t>Maryland Athletic Club</t>
  </si>
  <si>
    <t>10/9/1909 - vs Maryland Athletic Club</t>
  </si>
  <si>
    <t>Orange Athletic Club</t>
  </si>
  <si>
    <t>W 8-0</t>
  </si>
  <si>
    <t>Mount Washington</t>
  </si>
  <si>
    <t>Washington Navy Yard Seamen Gunners' Class</t>
  </si>
  <si>
    <t>Holy Name</t>
  </si>
  <si>
    <t>Catonsville Country Club</t>
  </si>
  <si>
    <t>Villanova</t>
  </si>
  <si>
    <t>Columbia Athletic Club</t>
  </si>
  <si>
    <t>Phil H. Harrison</t>
  </si>
  <si>
    <t>6; 12</t>
  </si>
  <si>
    <t>N - Professionals</t>
  </si>
  <si>
    <t>3; -3; 3; 9</t>
  </si>
  <si>
    <t>Transylvania [Kentucky University]</t>
  </si>
  <si>
    <t>Kentucky [Kentucky State]</t>
  </si>
  <si>
    <t>Edwin Sweetland</t>
  </si>
  <si>
    <t>W6</t>
  </si>
  <si>
    <t>10/21/1909 - Kentucky State</t>
  </si>
  <si>
    <t>Kentucky Wesleyan</t>
  </si>
  <si>
    <t>Berea</t>
  </si>
  <si>
    <t>at Illinois</t>
  </si>
  <si>
    <t>L 6-15</t>
  </si>
  <si>
    <t>Rose Polytechnic</t>
  </si>
  <si>
    <t>W 43-0</t>
  </si>
  <si>
    <t>at Georgetown (KY)</t>
  </si>
  <si>
    <t>St. Mary's High School</t>
  </si>
  <si>
    <t>Transylvania</t>
  </si>
  <si>
    <t>Central University (KY)</t>
  </si>
  <si>
    <t>9-1</t>
  </si>
  <si>
    <t>Maryland [Maryland Agricultural College]</t>
  </si>
  <si>
    <t>MD - College Park</t>
  </si>
  <si>
    <t>10/30/1909 - Maryland Agricultural College</t>
  </si>
  <si>
    <t>at Johns Hopkins</t>
  </si>
  <si>
    <t>L 0-9</t>
  </si>
  <si>
    <t>Rock Hill</t>
  </si>
  <si>
    <t>*** 10/30</t>
  </si>
  <si>
    <t>W 14-12</t>
  </si>
  <si>
    <t>31-0</t>
  </si>
  <si>
    <t>5; 11; 17; 20; 22; 27; 33</t>
  </si>
  <si>
    <t>22-0</t>
  </si>
  <si>
    <t>Technical High School of Washington, DC [Friendship Armstrong Academy]</t>
  </si>
  <si>
    <t>at Washington (Chestertown, MD)</t>
  </si>
  <si>
    <t>at Eastern (VA)</t>
  </si>
  <si>
    <t>W7</t>
  </si>
  <si>
    <t>Edward Larkin and Barnie Cooper</t>
  </si>
  <si>
    <t>11/6/1909 - at Washington &amp; Lee</t>
  </si>
  <si>
    <t>vs Davidson (at Roanoke)</t>
  </si>
  <si>
    <t>W 18-6</t>
  </si>
  <si>
    <t>L 6-34</t>
  </si>
  <si>
    <t>*** 11/6</t>
  </si>
  <si>
    <t>3</t>
  </si>
  <si>
    <t>W8</t>
  </si>
  <si>
    <t>death in UVA-Georgetown game caused cessation of football</t>
  </si>
  <si>
    <t>T. N. Pfeiffer</t>
  </si>
  <si>
    <t>C. P. Segard</t>
  </si>
  <si>
    <t>USS Franklin</t>
  </si>
  <si>
    <t>11/13/1909 - USS Franklin</t>
  </si>
  <si>
    <t>USS Louisiana</t>
  </si>
  <si>
    <t>US Navy Hospital Corps</t>
  </si>
  <si>
    <t>USS Minnesota</t>
  </si>
  <si>
    <t>Norfolk Light Artillery Blues</t>
  </si>
  <si>
    <t>unknown</t>
  </si>
  <si>
    <t>First documented visiting band</t>
  </si>
  <si>
    <t>W9</t>
  </si>
  <si>
    <t>11/20/1909 - Wake Forest</t>
  </si>
  <si>
    <t>North Carolina Medical College</t>
  </si>
  <si>
    <t>W 3-0</t>
  </si>
  <si>
    <t>*** 11/20</t>
  </si>
  <si>
    <t>team disbanded 11/22</t>
  </si>
  <si>
    <t>scheduled Sept</t>
  </si>
  <si>
    <t>vs Robert Bingham School (Greensboro)</t>
  </si>
  <si>
    <t>listed mid oct</t>
  </si>
  <si>
    <t>several other sources</t>
  </si>
  <si>
    <t>2-4</t>
  </si>
  <si>
    <t>Branch Bocock</t>
  </si>
  <si>
    <t>Norfolk Athletic Park</t>
  </si>
  <si>
    <t>6; 12; 18; 13</t>
  </si>
  <si>
    <t>A. T. Myers</t>
  </si>
  <si>
    <t>11/25/1909 - vs Virginia Polytechnic Institute</t>
  </si>
  <si>
    <t>W 34-6</t>
  </si>
  <si>
    <t>W 17-8</t>
  </si>
  <si>
    <t>*** 11/25</t>
  </si>
  <si>
    <t>Fred K. Nielson</t>
  </si>
  <si>
    <t>Originally 10/1</t>
  </si>
  <si>
    <t>10/8/1910 - Georgetown</t>
  </si>
  <si>
    <t>at Pittsburgh</t>
  </si>
  <si>
    <t>at Virginia Military Institute</t>
  </si>
  <si>
    <t>10/25/1895 - vs Virginia Military Institute</t>
  </si>
  <si>
    <t>vs Virginia Military Institute (Norfolk)</t>
  </si>
  <si>
    <t>vs Virginia Military Institute (Lynchburg)</t>
  </si>
  <si>
    <t>10/12/1903 - at Virginia Military Institute</t>
  </si>
  <si>
    <t>10/1/1904 - at Virginia Military Institute</t>
  </si>
  <si>
    <t>9/29/1905 - at Virginia Military Institute</t>
  </si>
  <si>
    <t>vs Virginia Military Institute (Winston-Salem)</t>
  </si>
  <si>
    <t>10/13/1906 - at Virginia Military Institute</t>
  </si>
  <si>
    <t>W 14-6</t>
  </si>
  <si>
    <t>Lehigh</t>
  </si>
  <si>
    <t>W 6-3</t>
  </si>
  <si>
    <t>Washington Navy Yard Seamen Gunners</t>
  </si>
  <si>
    <t>Eastern College</t>
  </si>
  <si>
    <t>Washington College</t>
  </si>
  <si>
    <t>Maryland Agricultural College</t>
  </si>
  <si>
    <t>Paul Magoffin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</si>
</sst>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8">
    <xf numFmtId="0" fontId="0" fillId="0" borderId="0" xfId="0"/>
    <xf numFmtId="18" fontId="0" fillId="0" borderId="0" xfId="0" applyNumberFormat="1"/>
    <xf numFmtId="0" fontId="1" fillId="0" borderId="0" xfId="0" applyFont="1" applyAlignment="1">
      <alignment horizontal="center"/>
    </xf>
    <xf numFmtId="1" fontId="0" fillId="0" borderId="0" xfId="0" applyNumberFormat="1"/>
    <xf numFmtId="0" fontId="0" fillId="2" borderId="0" xfId="0" applyFill="1"/>
    <xf numFmtId="0" fontId="1" fillId="0" borderId="0" xfId="0" applyFont="1" applyAlignment="1">
      <alignment horizontal="right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 applyFill="1" applyAlignment="1">
      <alignment horizontal="right"/>
    </xf>
    <xf numFmtId="0" fontId="0" fillId="0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3" fillId="2" borderId="0" xfId="0" applyFont="1" applyFill="1" applyAlignment="1">
      <alignment horizontal="right"/>
    </xf>
    <xf numFmtId="0" fontId="1" fillId="3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1" fillId="4" borderId="0" xfId="0" applyFont="1" applyFill="1" applyAlignment="1">
      <alignment horizontal="right"/>
    </xf>
    <xf numFmtId="0" fontId="4" fillId="4" borderId="0" xfId="0" applyFont="1" applyFill="1" applyAlignment="1">
      <alignment horizontal="right"/>
    </xf>
    <xf numFmtId="1" fontId="1" fillId="4" borderId="0" xfId="0" applyNumberFormat="1" applyFont="1" applyFill="1" applyAlignment="1">
      <alignment horizontal="right"/>
    </xf>
    <xf numFmtId="0" fontId="0" fillId="0" borderId="0" xfId="0" applyFont="1" applyFill="1" applyAlignment="1">
      <alignment horizontal="right"/>
    </xf>
    <xf numFmtId="14" fontId="0" fillId="5" borderId="0" xfId="0" applyNumberFormat="1" applyFill="1" applyAlignment="1">
      <alignment horizontal="right"/>
    </xf>
    <xf numFmtId="0" fontId="0" fillId="2" borderId="0" xfId="0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ont="1" applyFill="1" applyAlignment="1">
      <alignment horizontal="right"/>
    </xf>
    <xf numFmtId="0" fontId="0" fillId="3" borderId="0" xfId="0" applyFill="1"/>
    <xf numFmtId="0" fontId="5" fillId="0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/>
    <xf numFmtId="0" fontId="2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164" fontId="0" fillId="0" borderId="0" xfId="0" applyNumberFormat="1"/>
    <xf numFmtId="0" fontId="0" fillId="7" borderId="0" xfId="0" applyFill="1"/>
    <xf numFmtId="164" fontId="0" fillId="0" borderId="0" xfId="0" applyNumberFormat="1" applyAlignment="1"/>
    <xf numFmtId="164" fontId="0" fillId="0" borderId="0" xfId="0" applyNumberFormat="1" applyFont="1" applyAlignment="1"/>
    <xf numFmtId="49" fontId="0" fillId="0" borderId="0" xfId="0" applyNumberFormat="1" applyAlignment="1">
      <alignment horizontal="center"/>
    </xf>
    <xf numFmtId="0" fontId="6" fillId="0" borderId="0" xfId="1"/>
    <xf numFmtId="0" fontId="5" fillId="0" borderId="0" xfId="1" applyFont="1" applyFill="1"/>
    <xf numFmtId="0" fontId="1" fillId="0" borderId="0" xfId="0" applyFont="1" applyAlignment="1">
      <alignment horizontal="center"/>
    </xf>
    <xf numFmtId="0" fontId="5" fillId="0" borderId="0" xfId="1" applyFont="1"/>
    <xf numFmtId="0" fontId="0" fillId="5" borderId="0" xfId="0" applyFill="1"/>
    <xf numFmtId="49" fontId="0" fillId="5" borderId="0" xfId="0" applyNumberFormat="1" applyFill="1" applyAlignment="1">
      <alignment horizontal="center"/>
    </xf>
    <xf numFmtId="49" fontId="0" fillId="0" borderId="0" xfId="0" applyNumberFormat="1" applyFill="1" applyAlignment="1">
      <alignment horizontal="center"/>
    </xf>
    <xf numFmtId="14" fontId="0" fillId="0" borderId="0" xfId="0" applyNumberFormat="1"/>
    <xf numFmtId="0" fontId="1" fillId="0" borderId="0" xfId="0" applyFont="1" applyAlignment="1">
      <alignment horizontal="center"/>
    </xf>
    <xf numFmtId="18" fontId="0" fillId="0" borderId="0" xfId="0" applyNumberFormat="1" applyFill="1"/>
    <xf numFmtId="0" fontId="0" fillId="0" borderId="0" xfId="0" applyAlignment="1">
      <alignment wrapText="1"/>
    </xf>
    <xf numFmtId="0" fontId="6" fillId="0" borderId="0" xfId="1" applyFill="1"/>
    <xf numFmtId="0" fontId="0" fillId="0" borderId="0" xfId="0" applyFill="1" applyBorder="1"/>
    <xf numFmtId="0" fontId="0" fillId="4" borderId="0" xfId="0" applyFill="1" applyBorder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49" fontId="0" fillId="8" borderId="0" xfId="0" applyNumberFormat="1" applyFill="1"/>
    <xf numFmtId="49" fontId="0" fillId="7" borderId="0" xfId="0" applyNumberFormat="1" applyFill="1"/>
    <xf numFmtId="49" fontId="0" fillId="0" borderId="0" xfId="0" applyNumberFormat="1" applyFill="1"/>
    <xf numFmtId="49" fontId="0" fillId="0" borderId="0" xfId="0" quotePrefix="1" applyNumberFormat="1" applyFill="1"/>
    <xf numFmtId="49" fontId="1" fillId="0" borderId="0" xfId="0" applyNumberFormat="1" applyFont="1" applyFill="1" applyAlignment="1">
      <alignment horizontal="center"/>
    </xf>
    <xf numFmtId="49" fontId="0" fillId="0" borderId="0" xfId="0" quotePrefix="1" applyNumberFormat="1"/>
    <xf numFmtId="49" fontId="6" fillId="0" borderId="0" xfId="1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/>
    <xf numFmtId="0" fontId="0" fillId="8" borderId="0" xfId="0" applyNumberFormat="1" applyFill="1"/>
    <xf numFmtId="0" fontId="0" fillId="0" borderId="0" xfId="0" applyNumberFormat="1" applyFill="1"/>
    <xf numFmtId="0" fontId="0" fillId="9" borderId="0" xfId="0" quotePrefix="1" applyNumberFormat="1" applyFill="1"/>
    <xf numFmtId="0" fontId="0" fillId="9" borderId="0" xfId="0" applyNumberFormat="1" applyFill="1"/>
    <xf numFmtId="0" fontId="0" fillId="9" borderId="0" xfId="0" applyFill="1"/>
    <xf numFmtId="0" fontId="0" fillId="9" borderId="0" xfId="0" quotePrefix="1" applyFill="1"/>
    <xf numFmtId="0" fontId="0" fillId="3" borderId="0" xfId="0" applyNumberFormat="1" applyFill="1"/>
    <xf numFmtId="0" fontId="0" fillId="4" borderId="0" xfId="0" applyNumberFormat="1" applyFill="1"/>
    <xf numFmtId="0" fontId="0" fillId="10" borderId="0" xfId="0" applyFill="1"/>
    <xf numFmtId="164" fontId="6" fillId="0" borderId="0" xfId="1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quotePrefix="1" applyNumberFormat="1" applyFill="1"/>
    <xf numFmtId="164" fontId="0" fillId="0" borderId="0" xfId="0" applyNumberFormat="1" applyFont="1" applyFill="1" applyAlignment="1"/>
    <xf numFmtId="164" fontId="0" fillId="0" borderId="0" xfId="0" applyNumberFormat="1" applyFill="1" applyAlignment="1"/>
    <xf numFmtId="17" fontId="0" fillId="0" borderId="0" xfId="0" applyNumberFormat="1" applyFill="1"/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</cellXfs>
  <cellStyles count="2">
    <cellStyle name="Hyperlink" xfId="1" builtinId="8"/>
    <cellStyle name="Normal" xfId="0" builtinId="0"/>
  </cellStyles>
  <dxfs count="13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7C80"/>
      <color rgb="FFFFFF99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Carter William Claiborne" id="{8AADE78F-2A9A-430B-970D-53357A9EBA9A}" userId="S::cwclaibo@ncsu.edu::9fc98efa-3288-4196-9dad-2acdd03e569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Q1" dT="2021-04-21T03:03:07.01" personId="{8AADE78F-2A9A-430B-970D-53357A9EBA9A}" id="{A5C86B29-2DE2-4076-8880-599CE9EA012C}">
    <text>Check before 1908 games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rmcathletics.com/sports/fball/archive" TargetMode="Externa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newspapers.com/image/62296586/?terms=%22oak%20ridge%22%20football&amp;match=1" TargetMode="External"/><Relationship Id="rId117" Type="http://schemas.openxmlformats.org/officeDocument/2006/relationships/hyperlink" Target="https://www.newspapers.com/image/80696461/?terms=%22north%2Bcarolina%22%2Bagricultural%2Band%2Bmechanical%2Bfootball" TargetMode="External"/><Relationship Id="rId21" Type="http://schemas.openxmlformats.org/officeDocument/2006/relationships/hyperlink" Target="https://www.newspapers.com/image/67840607/?terms=bingham&amp;match=1" TargetMode="External"/><Relationship Id="rId42" Type="http://schemas.openxmlformats.org/officeDocument/2006/relationships/hyperlink" Target="https://www.newspapers.com/image/605126319/?terms=%22richmond%20college%22%20football&amp;match=1" TargetMode="External"/><Relationship Id="rId47" Type="http://schemas.openxmlformats.org/officeDocument/2006/relationships/hyperlink" Target="https://www.newspapers.com/image/605130596/?terms=%22richmond%20college%22%20football&amp;match=1" TargetMode="External"/><Relationship Id="rId63" Type="http://schemas.openxmlformats.org/officeDocument/2006/relationships/hyperlink" Target="https://www.newspapers.com/image/189477293/?terms=%22william%20and%20mary%22%20vincent%20football&amp;match=1" TargetMode="External"/><Relationship Id="rId68" Type="http://schemas.openxmlformats.org/officeDocument/2006/relationships/hyperlink" Target="https://www.newspapers.com/image/78456466/?terms=davidson%20football&amp;match=1" TargetMode="External"/><Relationship Id="rId84" Type="http://schemas.openxmlformats.org/officeDocument/2006/relationships/hyperlink" Target="https://www.newspapers.com/image/584865741/?terms=maryville%20mooney%20football&amp;match=1" TargetMode="External"/><Relationship Id="rId89" Type="http://schemas.openxmlformats.org/officeDocument/2006/relationships/hyperlink" Target="https://www.newspapers.com/image/602569546/?terms=maryville%20football&amp;match=1" TargetMode="External"/><Relationship Id="rId112" Type="http://schemas.openxmlformats.org/officeDocument/2006/relationships/hyperlink" Target="https://www.newspapers.com/image/80401254/?terms=%22wake%20forest%22%20football&amp;match=1" TargetMode="External"/><Relationship Id="rId16" Type="http://schemas.openxmlformats.org/officeDocument/2006/relationships/hyperlink" Target="https://www.lostcolleges.com/college-of-physicians-and-surgeons-of-ba" TargetMode="External"/><Relationship Id="rId107" Type="http://schemas.openxmlformats.org/officeDocument/2006/relationships/hyperlink" Target="https://www.newspapers.com/image/58289919/?terms=%22wake%20forest%22%20football&amp;match=1" TargetMode="External"/><Relationship Id="rId11" Type="http://schemas.openxmlformats.org/officeDocument/2006/relationships/hyperlink" Target="https://www.newspapers.com/image/58198668/?terms=guilford%20football&amp;match=1" TargetMode="External"/><Relationship Id="rId32" Type="http://schemas.openxmlformats.org/officeDocument/2006/relationships/hyperlink" Target="https://www.newspapers.com/image/64810325/?terms=%22oak%20ridge%22%20football&amp;match=1" TargetMode="External"/><Relationship Id="rId37" Type="http://schemas.openxmlformats.org/officeDocument/2006/relationships/hyperlink" Target="https://www.newspapers.com/image/61987339/?terms=guilford%20team%20football&amp;match=1" TargetMode="External"/><Relationship Id="rId53" Type="http://schemas.openxmlformats.org/officeDocument/2006/relationships/hyperlink" Target="https://tigerprints.clemson.edu/cgi/viewcontent.cgi?article=1039&amp;context=clemson_chronicle" TargetMode="External"/><Relationship Id="rId58" Type="http://schemas.openxmlformats.org/officeDocument/2006/relationships/hyperlink" Target="https://www.newspapers.com/image/145479982/?terms=%22william%20and%20mary%22%20%22randolph-macon%22%20football&amp;match=1" TargetMode="External"/><Relationship Id="rId74" Type="http://schemas.openxmlformats.org/officeDocument/2006/relationships/hyperlink" Target="https://www.newspapers.com/image/616500853/?terms=davidson%20football&amp;match=7" TargetMode="External"/><Relationship Id="rId79" Type="http://schemas.openxmlformats.org/officeDocument/2006/relationships/hyperlink" Target="https://wlu.prestosports.com/sports/fball/info/allyears/1900-09" TargetMode="External"/><Relationship Id="rId102" Type="http://schemas.openxmlformats.org/officeDocument/2006/relationships/hyperlink" Target="https://www.newspapers.com/image/58289805/?terms=%22wake%20forest%22%20football%20schedule&amp;match=1" TargetMode="External"/><Relationship Id="rId5" Type="http://schemas.openxmlformats.org/officeDocument/2006/relationships/hyperlink" Target="https://www.newspapers.com/image/62743499/?terms=%22oak%20ridge%22%20football&amp;match=1" TargetMode="External"/><Relationship Id="rId90" Type="http://schemas.openxmlformats.org/officeDocument/2006/relationships/hyperlink" Target="https://www.newspapers.com/image/602567041/?terms=maryville%20football&amp;match=1" TargetMode="External"/><Relationship Id="rId95" Type="http://schemas.openxmlformats.org/officeDocument/2006/relationships/hyperlink" Target="https://www.newspapers.com/image/372553102/?terms=%22Maryland%20agricultural%20college%22%20football&amp;match=1" TargetMode="External"/><Relationship Id="rId22" Type="http://schemas.openxmlformats.org/officeDocument/2006/relationships/hyperlink" Target="https://www.newspapers.com/image/67840367/?terms=%22oak%20ridge%22%20football&amp;match=1" TargetMode="External"/><Relationship Id="rId27" Type="http://schemas.openxmlformats.org/officeDocument/2006/relationships/hyperlink" Target="https://www.newspapers.com/image/64554263/?terms=%22oak%20ridge%22%20football&amp;match=1" TargetMode="External"/><Relationship Id="rId43" Type="http://schemas.openxmlformats.org/officeDocument/2006/relationships/hyperlink" Target="https://www.newspapers.com/image/145497550/?terms=%22richmond%20college%22%20football&amp;match=1" TargetMode="External"/><Relationship Id="rId48" Type="http://schemas.openxmlformats.org/officeDocument/2006/relationships/hyperlink" Target="https://news.google.com/newspapers?id=jw4tAAAAIBAJ&amp;sjid=oMcEAAAAIBAJ&amp;pg=6218%2C2935941" TargetMode="External"/><Relationship Id="rId64" Type="http://schemas.openxmlformats.org/officeDocument/2006/relationships/hyperlink" Target="https://www.newspapers.com/image/189477767/?terms=%22william%20and%20mary%22%20vincent%20football&amp;match=1" TargetMode="External"/><Relationship Id="rId69" Type="http://schemas.openxmlformats.org/officeDocument/2006/relationships/hyperlink" Target="https://www.newspapers.com/image/325601342/?terms=davidson%20football&amp;match=1" TargetMode="External"/><Relationship Id="rId113" Type="http://schemas.openxmlformats.org/officeDocument/2006/relationships/hyperlink" Target="https://www.newspapers.com/image/616578723/?terms=%22wake%20forest%22%20football&amp;match=1" TargetMode="External"/><Relationship Id="rId118" Type="http://schemas.openxmlformats.org/officeDocument/2006/relationships/hyperlink" Target="https://www.newspapers.com/image/372878418/?terms=%22washington%20college%22%20georgetown%20football&amp;match=1" TargetMode="External"/><Relationship Id="rId80" Type="http://schemas.openxmlformats.org/officeDocument/2006/relationships/hyperlink" Target="https://www.lostcolleges.com/eastern-college" TargetMode="External"/><Relationship Id="rId85" Type="http://schemas.openxmlformats.org/officeDocument/2006/relationships/hyperlink" Target="https://www.newspapers.com/image/616577935/?terms=maryville%20wake&amp;match=1" TargetMode="External"/><Relationship Id="rId12" Type="http://schemas.openxmlformats.org/officeDocument/2006/relationships/hyperlink" Target="https://www.newspapers.com/image/54012248/?terms=%22horner%22%2Braleigh%2Bfoot%2Bball" TargetMode="External"/><Relationship Id="rId17" Type="http://schemas.openxmlformats.org/officeDocument/2006/relationships/hyperlink" Target="https://www.newspapers.com/image/365270467/" TargetMode="External"/><Relationship Id="rId33" Type="http://schemas.openxmlformats.org/officeDocument/2006/relationships/hyperlink" Target="https://www.newspapers.com/image/62296586/?terms=%22oak%20ridge%22%20football&amp;match=1" TargetMode="External"/><Relationship Id="rId38" Type="http://schemas.openxmlformats.org/officeDocument/2006/relationships/hyperlink" Target="https://en.wikipedia.org/wiki/Richmond_Spiders_football,_1900%E2%80%9309" TargetMode="External"/><Relationship Id="rId59" Type="http://schemas.openxmlformats.org/officeDocument/2006/relationships/hyperlink" Target="https://www.newspapers.com/image/145483429/?terms=%22william%20and%20mary%22%20Hampden%20football&amp;match=1" TargetMode="External"/><Relationship Id="rId103" Type="http://schemas.openxmlformats.org/officeDocument/2006/relationships/hyperlink" Target="https://www.newspapers.com/image/58289805/?terms=%22wake%20forest%22%20football%20schedule&amp;match=1" TargetMode="External"/><Relationship Id="rId108" Type="http://schemas.openxmlformats.org/officeDocument/2006/relationships/hyperlink" Target="https://www.newspapers.com/image/80440420/?terms=%22wake%20forest%22%20football&amp;match=1" TargetMode="External"/><Relationship Id="rId54" Type="http://schemas.openxmlformats.org/officeDocument/2006/relationships/hyperlink" Target="https://tigerprints.clemson.edu/cgi/viewcontent.cgi?article=1039&amp;context=clemson_chronicle" TargetMode="External"/><Relationship Id="rId70" Type="http://schemas.openxmlformats.org/officeDocument/2006/relationships/hyperlink" Target="https://lib.digitalnc.org/record/29078?ln=en" TargetMode="External"/><Relationship Id="rId75" Type="http://schemas.openxmlformats.org/officeDocument/2006/relationships/hyperlink" Target="https://lib.digitalnc.org/record/29078?ln=en" TargetMode="External"/><Relationship Id="rId91" Type="http://schemas.openxmlformats.org/officeDocument/2006/relationships/hyperlink" Target="https://www.newspapers.com/image/371247093/?terms=%22Maryland%20agricultural%20college%22%20football&amp;match=1" TargetMode="External"/><Relationship Id="rId96" Type="http://schemas.openxmlformats.org/officeDocument/2006/relationships/hyperlink" Target="https://www.newspapers.com/image/371243273/?terms=%22Maryland%20Agricultural%20College%22%20football&amp;match=1" TargetMode="External"/><Relationship Id="rId1" Type="http://schemas.openxmlformats.org/officeDocument/2006/relationships/hyperlink" Target="https://www.newspapers.com/image/54499682/?terms=%22second%20eleven%22%20football%20university&amp;match=1" TargetMode="External"/><Relationship Id="rId6" Type="http://schemas.openxmlformats.org/officeDocument/2006/relationships/hyperlink" Target="https://guilfordquakers.com/sports/fball/Records/FB_Game-by-Game.pdf" TargetMode="External"/><Relationship Id="rId23" Type="http://schemas.openxmlformats.org/officeDocument/2006/relationships/hyperlink" Target="https://www.newspapers.com/image/59351012/?terms=%22oak%20ridge%22%20football&amp;match=1" TargetMode="External"/><Relationship Id="rId28" Type="http://schemas.openxmlformats.org/officeDocument/2006/relationships/hyperlink" Target="https://www.newspapers.com/image/73816130/?terms=%22oak%20ridge%22%20football&amp;match=1" TargetMode="External"/><Relationship Id="rId49" Type="http://schemas.openxmlformats.org/officeDocument/2006/relationships/hyperlink" Target="https://wlu.prestosports.com/sports/fball/info/allyears/1900-09" TargetMode="External"/><Relationship Id="rId114" Type="http://schemas.openxmlformats.org/officeDocument/2006/relationships/hyperlink" Target="https://www.newspapers.com/image/80401325/?terms=%22wake%20forest%22%20football&amp;match=1" TargetMode="External"/><Relationship Id="rId119" Type="http://schemas.openxmlformats.org/officeDocument/2006/relationships/printerSettings" Target="../printerSettings/printerSettings2.bin"/><Relationship Id="rId10" Type="http://schemas.openxmlformats.org/officeDocument/2006/relationships/hyperlink" Target="https://www.newspapers.com/image/174298327/?terms=trinity%20football&amp;match=1" TargetMode="External"/><Relationship Id="rId31" Type="http://schemas.openxmlformats.org/officeDocument/2006/relationships/hyperlink" Target="https://www.newspapers.com/image/73818620/?terms=%22oak%20ridge%22%20football&amp;match=1" TargetMode="External"/><Relationship Id="rId44" Type="http://schemas.openxmlformats.org/officeDocument/2006/relationships/hyperlink" Target="https://www.newspapers.com/image/145498145" TargetMode="External"/><Relationship Id="rId52" Type="http://schemas.openxmlformats.org/officeDocument/2006/relationships/hyperlink" Target="../../../../Downloads/WLURG39_Calyx_1907.pdf" TargetMode="External"/><Relationship Id="rId60" Type="http://schemas.openxmlformats.org/officeDocument/2006/relationships/hyperlink" Target="https://www.newspapers.com/image/372955992/?terms=%22william%20and%20mary%22%20Hampden%20football&amp;match=1" TargetMode="External"/><Relationship Id="rId65" Type="http://schemas.openxmlformats.org/officeDocument/2006/relationships/hyperlink" Target="https://www.newspapers.com/image/616492550/?terms=davidson%20football&amp;match=1" TargetMode="External"/><Relationship Id="rId73" Type="http://schemas.openxmlformats.org/officeDocument/2006/relationships/hyperlink" Target="https://www.newspapers.com/image/58182473/?terms=davidson%20%22south%20carolina%22%20football&amp;match=1" TargetMode="External"/><Relationship Id="rId78" Type="http://schemas.openxmlformats.org/officeDocument/2006/relationships/hyperlink" Target="https://www.newspapers.com/image/64887350/?terms=davidson%20football&amp;match=1" TargetMode="External"/><Relationship Id="rId81" Type="http://schemas.openxmlformats.org/officeDocument/2006/relationships/hyperlink" Target="https://www.newspapers.com/image/584867625/?terms=%22central%20university%22%20football&amp;match=1" TargetMode="External"/><Relationship Id="rId86" Type="http://schemas.openxmlformats.org/officeDocument/2006/relationships/hyperlink" Target="https://www.newspapers.com/image/584868347/?terms=maryville%20football&amp;match=1" TargetMode="External"/><Relationship Id="rId94" Type="http://schemas.openxmlformats.org/officeDocument/2006/relationships/hyperlink" Target="https://www.newspapers.com/image/372537972/?terms=%22Maryland%20agricultural%20college%22%20football&amp;match=1" TargetMode="External"/><Relationship Id="rId99" Type="http://schemas.openxmlformats.org/officeDocument/2006/relationships/hyperlink" Target="https://www.newspapers.com/image/146261896/?terms=%22washington%20and%20lee%22%20thanksgiving%20football&amp;match=1" TargetMode="External"/><Relationship Id="rId101" Type="http://schemas.openxmlformats.org/officeDocument/2006/relationships/hyperlink" Target="https://www.newspapers.com/image/59003295/?terms=%22wake%2Bforest%22%2Bfootball%2B%22A.%2Band%2BM.%2Bcollege%22" TargetMode="External"/><Relationship Id="rId4" Type="http://schemas.openxmlformats.org/officeDocument/2006/relationships/hyperlink" Target="https://www.newspapers.com/image/54499682/?terms=%22second%20eleven%22%20football%20university&amp;match=1" TargetMode="External"/><Relationship Id="rId9" Type="http://schemas.openxmlformats.org/officeDocument/2006/relationships/hyperlink" Target="https://www.newspapers.com/image/76208448/?terms=football%20%22male%20academy%22&amp;match=1" TargetMode="External"/><Relationship Id="rId13" Type="http://schemas.openxmlformats.org/officeDocument/2006/relationships/hyperlink" Target="https://www.newspapers.com/image/65560387/?terms=horner%20%22foot%20ball%22&amp;match=1" TargetMode="External"/><Relationship Id="rId18" Type="http://schemas.openxmlformats.org/officeDocument/2006/relationships/hyperlink" Target="https://www.newspapers.com/image/58165093/?terms=guilford%20bingham%20football&amp;match=1" TargetMode="External"/><Relationship Id="rId39" Type="http://schemas.openxmlformats.org/officeDocument/2006/relationships/hyperlink" Target="https://www.newspapers.com/image/145491252/?terms=%22richmond%22%20%22petersburg%22%20football&amp;match=1" TargetMode="External"/><Relationship Id="rId109" Type="http://schemas.openxmlformats.org/officeDocument/2006/relationships/hyperlink" Target="https://www.newspapers.com/image/616577935/?terms=%22wake%20forest%22%20football&amp;match=1" TargetMode="External"/><Relationship Id="rId34" Type="http://schemas.openxmlformats.org/officeDocument/2006/relationships/hyperlink" Target="https://www.newspapers.com/image/64554263/?terms=%22oak%20ridge%22%20football&amp;match=1" TargetMode="External"/><Relationship Id="rId50" Type="http://schemas.openxmlformats.org/officeDocument/2006/relationships/hyperlink" Target="https://www.newspapers.com/image/72203495/?terms=%22miller%20school%22%20football&amp;match=1" TargetMode="External"/><Relationship Id="rId55" Type="http://schemas.openxmlformats.org/officeDocument/2006/relationships/hyperlink" Target="https://www.newspapers.com/image/31593908/?terms=%22roanoke%20college%22%20football&amp;match=1" TargetMode="External"/><Relationship Id="rId76" Type="http://schemas.openxmlformats.org/officeDocument/2006/relationships/hyperlink" Target="https://en.wikipedia.org/wiki/1908_Georgia_Bulldogs_football_team" TargetMode="External"/><Relationship Id="rId97" Type="http://schemas.openxmlformats.org/officeDocument/2006/relationships/hyperlink" Target="https://www.newspapers.com/image/371243273/?terms=%22Maryland%20Agricultural%20College%22%20football&amp;match=1" TargetMode="External"/><Relationship Id="rId104" Type="http://schemas.openxmlformats.org/officeDocument/2006/relationships/hyperlink" Target="https://www.newspapers.com/image/58289805/?terms=%22wake%20forest%22%20football%20schedule&amp;match=1" TargetMode="External"/><Relationship Id="rId7" Type="http://schemas.openxmlformats.org/officeDocument/2006/relationships/hyperlink" Target="https://www.newspapers.com/image/174906539/?terms=football%20%22Raleigh%20male%20academy%22&amp;match=1" TargetMode="External"/><Relationship Id="rId71" Type="http://schemas.openxmlformats.org/officeDocument/2006/relationships/hyperlink" Target="https://www.newspapers.com/image/616497809/?terms=davidson%20clemson%20football&amp;match=1" TargetMode="External"/><Relationship Id="rId92" Type="http://schemas.openxmlformats.org/officeDocument/2006/relationships/hyperlink" Target="https://www.newspapers.com/image/372525317/?terms=%22Maryland%20agricultural%20college%22%20football&amp;match=1" TargetMode="External"/><Relationship Id="rId2" Type="http://schemas.openxmlformats.org/officeDocument/2006/relationships/hyperlink" Target="https://www.newspapers.com/image/62743499/?terms=%22oak%20ridge%22%20football&amp;match=1" TargetMode="External"/><Relationship Id="rId29" Type="http://schemas.openxmlformats.org/officeDocument/2006/relationships/hyperlink" Target="https://www.newspapers.com/image/67840367/?terms=%22oak%20ridge%22%20football&amp;match=1" TargetMode="External"/><Relationship Id="rId24" Type="http://schemas.openxmlformats.org/officeDocument/2006/relationships/hyperlink" Target="https://www.newspapers.com/image/73818620/?terms=%22oak%20ridge%22%20football&amp;match=1" TargetMode="External"/><Relationship Id="rId40" Type="http://schemas.openxmlformats.org/officeDocument/2006/relationships/hyperlink" Target="https://www.newspapers.com/image/145492062/?terms=%22richmond%20college%22%20football&amp;match=1" TargetMode="External"/><Relationship Id="rId45" Type="http://schemas.openxmlformats.org/officeDocument/2006/relationships/hyperlink" Target="https://www.newspapers.com/image/605129222/?terms=%22richmond%20college%22%20football&amp;match=1" TargetMode="External"/><Relationship Id="rId66" Type="http://schemas.openxmlformats.org/officeDocument/2006/relationships/hyperlink" Target="https://www.newspapers.com/image/616493135/?terms=davidson%20football&amp;match=1" TargetMode="External"/><Relationship Id="rId87" Type="http://schemas.openxmlformats.org/officeDocument/2006/relationships/hyperlink" Target="https://www.newspapers.com/image/586485934/?terms=maryville%20football&amp;match=1" TargetMode="External"/><Relationship Id="rId110" Type="http://schemas.openxmlformats.org/officeDocument/2006/relationships/hyperlink" Target="https://www.newspapers.com/image/80401163/?terms=%22wake%20forest%22%20football&amp;match=1" TargetMode="External"/><Relationship Id="rId115" Type="http://schemas.openxmlformats.org/officeDocument/2006/relationships/hyperlink" Target="https://www.newspapers.com/image/80401333/?terms=%22wake%20forest%22%20football&amp;match=1" TargetMode="External"/><Relationship Id="rId61" Type="http://schemas.openxmlformats.org/officeDocument/2006/relationships/hyperlink" Target="https://www.newspapers.com/image/145487221/?terms=%22william%20and%20mary%22%20Hampden%20football&amp;match=1" TargetMode="External"/><Relationship Id="rId82" Type="http://schemas.openxmlformats.org/officeDocument/2006/relationships/hyperlink" Target="https://www.newspapers.com/image/586486779/?terms=maryville%20football&amp;match=1" TargetMode="External"/><Relationship Id="rId19" Type="http://schemas.openxmlformats.org/officeDocument/2006/relationships/hyperlink" Target="https://www.newspapers.com/image/64470764/?terms=%22oak%20ridge%22%20football&amp;match=1" TargetMode="External"/><Relationship Id="rId14" Type="http://schemas.openxmlformats.org/officeDocument/2006/relationships/hyperlink" Target="https://lib.digitalnc.org/record/33743?ln=en" TargetMode="External"/><Relationship Id="rId30" Type="http://schemas.openxmlformats.org/officeDocument/2006/relationships/hyperlink" Target="https://www.newspapers.com/image/59351012/?terms=%22oak%20ridge%22%20football&amp;match=1" TargetMode="External"/><Relationship Id="rId35" Type="http://schemas.openxmlformats.org/officeDocument/2006/relationships/hyperlink" Target="https://www.newspapers.com/image/73816130/?terms=%22oak%20ridge%22%20football&amp;match=1" TargetMode="External"/><Relationship Id="rId56" Type="http://schemas.openxmlformats.org/officeDocument/2006/relationships/hyperlink" Target="https://www.newspapers.com/image/58016330/" TargetMode="External"/><Relationship Id="rId77" Type="http://schemas.openxmlformats.org/officeDocument/2006/relationships/hyperlink" Target="https://www.newspapers.com/image/26879284/?terms=davidson%20football&amp;match=1" TargetMode="External"/><Relationship Id="rId100" Type="http://schemas.openxmlformats.org/officeDocument/2006/relationships/hyperlink" Target="https://www.newspapers.com/image/59003118/?terms=georgetown%20football%20disband&amp;match=1" TargetMode="External"/><Relationship Id="rId105" Type="http://schemas.openxmlformats.org/officeDocument/2006/relationships/hyperlink" Target="https://www.newspapers.com/image/58289805/?terms=%22wake%20forest%22%20football%20schedule&amp;match=1" TargetMode="External"/><Relationship Id="rId8" Type="http://schemas.openxmlformats.org/officeDocument/2006/relationships/hyperlink" Target="https://www.newspapers.com/image/76208364/?terms=%22R.%20M.%20A.%22%20football&amp;match=1" TargetMode="External"/><Relationship Id="rId51" Type="http://schemas.openxmlformats.org/officeDocument/2006/relationships/hyperlink" Target="https://wlu.prestosports.com/sports/fball/info/allyears/1900-09" TargetMode="External"/><Relationship Id="rId72" Type="http://schemas.openxmlformats.org/officeDocument/2006/relationships/hyperlink" Target="https://www.newspapers.com/image/58182461/?terms=davidson%20football&amp;match=1" TargetMode="External"/><Relationship Id="rId93" Type="http://schemas.openxmlformats.org/officeDocument/2006/relationships/hyperlink" Target="https://www.newspapers.com/image/372530413/?terms=%22Maryland%20agricultural%20college%22%20football&amp;match=1" TargetMode="External"/><Relationship Id="rId98" Type="http://schemas.openxmlformats.org/officeDocument/2006/relationships/hyperlink" Target="https://www.newspapers.com/image/371243273/?terms=%22Maryland%20Agricultural%20College%22%20football&amp;match=1" TargetMode="External"/><Relationship Id="rId3" Type="http://schemas.openxmlformats.org/officeDocument/2006/relationships/hyperlink" Target="https://guilfordquakers.com/sports/fball/Records/FB_Game-by-Game.pdf" TargetMode="External"/><Relationship Id="rId25" Type="http://schemas.openxmlformats.org/officeDocument/2006/relationships/hyperlink" Target="https://www.newspapers.com/image/64810325/?terms=%22oak%20ridge%22%20football&amp;match=1" TargetMode="External"/><Relationship Id="rId46" Type="http://schemas.openxmlformats.org/officeDocument/2006/relationships/hyperlink" Target="https://www.newspapers.com/image/145501092/?terms=%22richmond%20college%22%20football&amp;match=1" TargetMode="External"/><Relationship Id="rId67" Type="http://schemas.openxmlformats.org/officeDocument/2006/relationships/hyperlink" Target="https://www.newspapers.com/image/616493718/?terms=davidson%20football&amp;match=1" TargetMode="External"/><Relationship Id="rId116" Type="http://schemas.openxmlformats.org/officeDocument/2006/relationships/hyperlink" Target="https://www.newspapers.com/image/616579797/?terms=%22wake%20forest%22%20football&amp;match=1" TargetMode="External"/><Relationship Id="rId20" Type="http://schemas.openxmlformats.org/officeDocument/2006/relationships/hyperlink" Target="https://www.newspapers.com/image/76576866/?terms=%22oak%20ridge%22%20football&amp;match=1" TargetMode="External"/><Relationship Id="rId41" Type="http://schemas.openxmlformats.org/officeDocument/2006/relationships/hyperlink" Target="https://www.newspapers.com/image/605125322/?terms=%22richmond%20college%22%20football&amp;match=1" TargetMode="External"/><Relationship Id="rId62" Type="http://schemas.openxmlformats.org/officeDocument/2006/relationships/hyperlink" Target="https://www.newspapers.com/image/189477817/?terms=%22william%20and%20mary%22%20vincent%20football&amp;match=1" TargetMode="External"/><Relationship Id="rId83" Type="http://schemas.openxmlformats.org/officeDocument/2006/relationships/hyperlink" Target="https://www.newspapers.com/image/584870558/?terms=maryville%20football&amp;match=1" TargetMode="External"/><Relationship Id="rId88" Type="http://schemas.openxmlformats.org/officeDocument/2006/relationships/hyperlink" Target="https://www.newspapers.com/image/586486948/" TargetMode="External"/><Relationship Id="rId111" Type="http://schemas.openxmlformats.org/officeDocument/2006/relationships/hyperlink" Target="https://www.newspapers.com/image/80401163/?terms=%22wake%20forest%22%20football&amp;match=1" TargetMode="External"/><Relationship Id="rId15" Type="http://schemas.openxmlformats.org/officeDocument/2006/relationships/hyperlink" Target="https://archive.org/details/guilfordcollegi1218991900/page/76/mode/2up?q=bingham" TargetMode="External"/><Relationship Id="rId36" Type="http://schemas.openxmlformats.org/officeDocument/2006/relationships/hyperlink" Target="https://www.newspapers.com/image/61987327/?terms=guilford%20team%20football&amp;match=1" TargetMode="External"/><Relationship Id="rId57" Type="http://schemas.openxmlformats.org/officeDocument/2006/relationships/hyperlink" Target="https://www.newspapers.com/image/58016363/?terms=football%20%22all%20stars%22&amp;match=1" TargetMode="External"/><Relationship Id="rId106" Type="http://schemas.openxmlformats.org/officeDocument/2006/relationships/hyperlink" Target="https://www.newspapers.com/image/58289805/?terms=%22wake%20forest%22%20football%20schedule&amp;match=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C7009-4876-47D1-90AF-CCC21B21E9D1}">
  <sheetPr codeName="Sheet1"/>
  <dimension ref="A1:CB139"/>
  <sheetViews>
    <sheetView tabSelected="1" workbookViewId="0">
      <pane xSplit="1" ySplit="1" topLeftCell="B92" activePane="bottomRight" state="frozen"/>
      <selection pane="topRight" activeCell="B1" sqref="B1"/>
      <selection pane="bottomLeft" activeCell="A2" sqref="A2"/>
      <selection pane="bottomRight" activeCell="B29" sqref="B29"/>
    </sheetView>
  </sheetViews>
  <sheetFormatPr defaultRowHeight="14.4" x14ac:dyDescent="0.3"/>
  <cols>
    <col min="1" max="1" width="10.5546875" style="6" bestFit="1" customWidth="1"/>
    <col min="2" max="2" width="11.88671875" customWidth="1"/>
    <col min="3" max="3" width="22.5546875" customWidth="1"/>
    <col min="4" max="4" width="19.6640625" style="9" customWidth="1"/>
    <col min="5" max="5" width="27.5546875" style="17" customWidth="1"/>
    <col min="6" max="6" width="29.21875" style="9" customWidth="1"/>
    <col min="7" max="7" width="24.77734375" style="9" customWidth="1"/>
    <col min="8" max="8" width="8.77734375" customWidth="1"/>
    <col min="9" max="9" width="10.109375" style="58" bestFit="1" customWidth="1"/>
    <col min="10" max="10" width="10.88671875" style="58" bestFit="1" customWidth="1"/>
    <col min="11" max="12" width="10.44140625" style="58" bestFit="1" customWidth="1"/>
    <col min="13" max="13" width="11.33203125" customWidth="1"/>
    <col min="14" max="15" width="16.6640625" customWidth="1"/>
    <col min="16" max="16" width="6.5546875" style="7" customWidth="1"/>
    <col min="17" max="17" width="34.88671875" bestFit="1" customWidth="1"/>
    <col min="18" max="18" width="16.5546875" customWidth="1"/>
    <col min="19" max="20" width="16.6640625" customWidth="1"/>
    <col min="21" max="25" width="16.88671875" customWidth="1"/>
    <col min="26" max="26" width="18.44140625" bestFit="1" customWidth="1"/>
    <col min="27" max="27" width="24.88671875" bestFit="1" customWidth="1"/>
    <col min="28" max="28" width="9.21875" customWidth="1"/>
    <col min="29" max="29" width="10.44140625" customWidth="1"/>
    <col min="30" max="30" width="33.88671875" bestFit="1" customWidth="1"/>
    <col min="31" max="31" width="17.5546875" customWidth="1"/>
    <col min="32" max="32" width="10.33203125" style="7" bestFit="1" customWidth="1"/>
    <col min="33" max="33" width="10.88671875" customWidth="1"/>
    <col min="34" max="34" width="9.6640625" customWidth="1"/>
    <col min="35" max="35" width="10.33203125" customWidth="1"/>
    <col min="36" max="36" width="6.109375" customWidth="1"/>
    <col min="37" max="37" width="15.44140625" style="49" bestFit="1" customWidth="1"/>
    <col min="38" max="38" width="17.5546875" style="49" bestFit="1" customWidth="1"/>
    <col min="39" max="39" width="14.109375" style="49" bestFit="1" customWidth="1"/>
    <col min="40" max="40" width="41.5546875" style="52" bestFit="1" customWidth="1"/>
    <col min="41" max="41" width="10.77734375" customWidth="1"/>
    <col min="42" max="42" width="8.6640625" style="60" customWidth="1"/>
    <col min="43" max="43" width="7.77734375" style="60" customWidth="1"/>
    <col min="44" max="44" width="36.109375" customWidth="1"/>
    <col min="45" max="45" width="46.109375" bestFit="1" customWidth="1"/>
    <col min="46" max="46" width="12" customWidth="1"/>
    <col min="47" max="47" width="7.77734375" bestFit="1" customWidth="1"/>
    <col min="48" max="48" width="16.33203125" customWidth="1"/>
    <col min="49" max="49" width="20.21875" customWidth="1"/>
    <col min="50" max="50" width="23.33203125" customWidth="1"/>
    <col min="51" max="51" width="18.88671875" customWidth="1"/>
    <col min="52" max="52" width="25.88671875" customWidth="1"/>
    <col min="53" max="53" width="29.77734375" customWidth="1"/>
    <col min="54" max="54" width="26.6640625" customWidth="1"/>
    <col min="55" max="55" width="22.21875" customWidth="1"/>
    <col min="56" max="56" width="19.44140625" customWidth="1"/>
    <col min="57" max="57" width="23.33203125" customWidth="1"/>
    <col min="58" max="59" width="26.6640625" customWidth="1"/>
    <col min="60" max="60" width="15.109375" style="25" customWidth="1"/>
    <col min="61" max="61" width="14.21875" style="25" customWidth="1"/>
    <col min="62" max="62" width="22.109375" style="25" customWidth="1"/>
    <col min="63" max="63" width="23.77734375" style="25" customWidth="1"/>
    <col min="64" max="64" width="19.33203125" style="25" customWidth="1"/>
    <col min="65" max="65" width="24.33203125" style="25" customWidth="1"/>
    <col min="66" max="66" width="23.44140625" style="27" customWidth="1"/>
    <col min="67" max="67" width="31.33203125" style="27" customWidth="1"/>
    <col min="68" max="68" width="33" style="27" customWidth="1"/>
    <col min="69" max="69" width="34.6640625" style="27" customWidth="1"/>
    <col min="70" max="70" width="37.21875" style="27" customWidth="1"/>
    <col min="71" max="71" width="27.33203125" style="27" customWidth="1"/>
    <col min="72" max="72" width="26.5546875" style="71" customWidth="1"/>
    <col min="73" max="73" width="21.5546875" style="25" bestFit="1" customWidth="1"/>
    <col min="74" max="74" width="20.5546875" style="25" customWidth="1"/>
    <col min="75" max="75" width="21.109375" style="25" customWidth="1"/>
    <col min="76" max="76" width="21.5546875" style="25" bestFit="1" customWidth="1"/>
    <col min="77" max="77" width="31.33203125" style="71" bestFit="1" customWidth="1"/>
    <col min="78" max="78" width="18.33203125" style="7" bestFit="1" customWidth="1"/>
    <col min="79" max="79" width="20" style="7" bestFit="1" customWidth="1"/>
    <col min="80" max="80" width="15.5546875" style="7" bestFit="1" customWidth="1"/>
  </cols>
  <sheetData>
    <row r="1" spans="1:80" s="2" customFormat="1" x14ac:dyDescent="0.3">
      <c r="A1" s="5" t="s">
        <v>0</v>
      </c>
      <c r="B1" s="2" t="s">
        <v>192</v>
      </c>
      <c r="C1" s="2" t="s">
        <v>195</v>
      </c>
      <c r="D1" s="8" t="s">
        <v>193</v>
      </c>
      <c r="E1" s="8" t="s">
        <v>194</v>
      </c>
      <c r="F1" s="8" t="s">
        <v>198</v>
      </c>
      <c r="G1" s="8" t="s">
        <v>199</v>
      </c>
      <c r="H1" s="2" t="s">
        <v>1</v>
      </c>
      <c r="I1" s="57" t="s">
        <v>1148</v>
      </c>
      <c r="J1" s="57" t="s">
        <v>1147</v>
      </c>
      <c r="K1" s="57" t="s">
        <v>1149</v>
      </c>
      <c r="L1" s="57" t="s">
        <v>1150</v>
      </c>
      <c r="M1" s="2" t="s">
        <v>15</v>
      </c>
      <c r="N1" s="2" t="s">
        <v>18</v>
      </c>
      <c r="O1" s="42" t="s">
        <v>945</v>
      </c>
      <c r="P1" s="2" t="s">
        <v>36</v>
      </c>
      <c r="Q1" s="2" t="s">
        <v>2</v>
      </c>
      <c r="R1" s="2" t="s">
        <v>49</v>
      </c>
      <c r="S1" s="2" t="s">
        <v>20</v>
      </c>
      <c r="T1" s="42" t="s">
        <v>958</v>
      </c>
      <c r="U1" s="2" t="s">
        <v>21</v>
      </c>
      <c r="V1" s="2" t="s">
        <v>259</v>
      </c>
      <c r="W1" s="2" t="s">
        <v>260</v>
      </c>
      <c r="X1" s="2" t="s">
        <v>261</v>
      </c>
      <c r="Y1" s="2" t="s">
        <v>262</v>
      </c>
      <c r="Z1" s="2" t="s">
        <v>263</v>
      </c>
      <c r="AA1" s="2" t="s">
        <v>264</v>
      </c>
      <c r="AB1" s="2" t="s">
        <v>3</v>
      </c>
      <c r="AC1" s="2" t="s">
        <v>4</v>
      </c>
      <c r="AD1" s="2" t="s">
        <v>41</v>
      </c>
      <c r="AE1" s="2" t="s">
        <v>8</v>
      </c>
      <c r="AF1" s="70" t="s">
        <v>1226</v>
      </c>
      <c r="AG1" s="2" t="s">
        <v>9</v>
      </c>
      <c r="AH1" s="2" t="s">
        <v>10</v>
      </c>
      <c r="AI1" s="2" t="s">
        <v>11</v>
      </c>
      <c r="AJ1" s="2" t="s">
        <v>12</v>
      </c>
      <c r="AK1" s="48" t="s">
        <v>1161</v>
      </c>
      <c r="AL1" s="48" t="s">
        <v>1160</v>
      </c>
      <c r="AM1" s="48" t="s">
        <v>1027</v>
      </c>
      <c r="AN1" s="54" t="s">
        <v>1056</v>
      </c>
      <c r="AO1" s="2" t="s">
        <v>14</v>
      </c>
      <c r="AP1" s="54" t="s">
        <v>1227</v>
      </c>
      <c r="AQ1" s="54" t="s">
        <v>1228</v>
      </c>
      <c r="AR1" s="2" t="s">
        <v>16</v>
      </c>
      <c r="AS1" s="2" t="s">
        <v>17</v>
      </c>
      <c r="AT1" s="2" t="s">
        <v>197</v>
      </c>
      <c r="AU1" s="2" t="s">
        <v>22</v>
      </c>
      <c r="AV1" s="2" t="s">
        <v>232</v>
      </c>
      <c r="AW1" s="2" t="s">
        <v>233</v>
      </c>
      <c r="AX1" s="2" t="s">
        <v>234</v>
      </c>
      <c r="AY1" s="2" t="s">
        <v>235</v>
      </c>
      <c r="AZ1" s="2" t="s">
        <v>246</v>
      </c>
      <c r="BA1" s="2" t="s">
        <v>245</v>
      </c>
      <c r="BB1" s="2" t="s">
        <v>239</v>
      </c>
      <c r="BC1" s="2" t="s">
        <v>240</v>
      </c>
      <c r="BD1" s="2" t="s">
        <v>241</v>
      </c>
      <c r="BE1" s="2" t="s">
        <v>242</v>
      </c>
      <c r="BF1" s="2" t="s">
        <v>243</v>
      </c>
      <c r="BG1" s="2" t="s">
        <v>244</v>
      </c>
      <c r="BH1" s="24" t="s">
        <v>201</v>
      </c>
      <c r="BI1" s="24" t="s">
        <v>202</v>
      </c>
      <c r="BJ1" s="24" t="s">
        <v>203</v>
      </c>
      <c r="BK1" s="24" t="s">
        <v>204</v>
      </c>
      <c r="BL1" s="24" t="s">
        <v>205</v>
      </c>
      <c r="BM1" s="24" t="s">
        <v>210</v>
      </c>
      <c r="BN1" s="24" t="s">
        <v>206</v>
      </c>
      <c r="BO1" s="24" t="s">
        <v>207</v>
      </c>
      <c r="BP1" s="24" t="s">
        <v>208</v>
      </c>
      <c r="BQ1" s="24" t="s">
        <v>209</v>
      </c>
      <c r="BR1" s="24" t="s">
        <v>211</v>
      </c>
      <c r="BS1" s="24" t="s">
        <v>212</v>
      </c>
      <c r="BT1" s="24" t="s">
        <v>213</v>
      </c>
      <c r="BU1" s="24" t="s">
        <v>214</v>
      </c>
      <c r="BV1" s="24" t="s">
        <v>219</v>
      </c>
      <c r="BW1" s="24" t="s">
        <v>220</v>
      </c>
      <c r="BX1" s="24" t="s">
        <v>252</v>
      </c>
      <c r="BY1" s="24" t="s">
        <v>215</v>
      </c>
      <c r="BZ1" s="69" t="s">
        <v>216</v>
      </c>
      <c r="CA1" s="69" t="s">
        <v>217</v>
      </c>
      <c r="CB1" s="69" t="s">
        <v>218</v>
      </c>
    </row>
    <row r="2" spans="1:80" x14ac:dyDescent="0.3">
      <c r="A2" s="6" t="s">
        <v>5</v>
      </c>
      <c r="B2" t="str" cm="1">
        <f t="array" aca="1" ref="B2" ca="1">CHOOSE(IF(MOD(-1*(DateTextValue(A2)-2),7)=0,7,MOD(-1*(DateTextValue(A2)-2),7)),"Sunday","Saturday","Friday","Thursday","Wednesday","Tuesday","Monday")</f>
        <v>Saturday</v>
      </c>
      <c r="C2" t="s">
        <v>7</v>
      </c>
      <c r="D2" s="9" t="s">
        <v>7</v>
      </c>
      <c r="E2" s="17" t="s">
        <v>7</v>
      </c>
      <c r="F2" s="9" t="s">
        <v>7</v>
      </c>
      <c r="G2" s="9" t="s">
        <v>7</v>
      </c>
      <c r="H2" s="1">
        <v>0.625</v>
      </c>
      <c r="I2" s="58">
        <v>45</v>
      </c>
      <c r="J2" s="58">
        <v>45</v>
      </c>
      <c r="K2" s="59" t="s">
        <v>7</v>
      </c>
      <c r="L2" s="59" t="s">
        <v>7</v>
      </c>
      <c r="M2" s="3">
        <f>I2+J2</f>
        <v>90</v>
      </c>
      <c r="N2" s="3" t="s">
        <v>19</v>
      </c>
      <c r="O2" s="3" t="s">
        <v>946</v>
      </c>
      <c r="P2" s="7" t="s">
        <v>37</v>
      </c>
      <c r="Q2" t="s">
        <v>6</v>
      </c>
      <c r="R2" t="s">
        <v>43</v>
      </c>
      <c r="S2" t="s">
        <v>19</v>
      </c>
      <c r="T2" t="s">
        <v>946</v>
      </c>
      <c r="U2" t="s">
        <v>33</v>
      </c>
      <c r="V2">
        <v>0</v>
      </c>
      <c r="W2">
        <v>0</v>
      </c>
      <c r="X2">
        <v>0</v>
      </c>
      <c r="Y2">
        <v>0</v>
      </c>
      <c r="Z2">
        <v>1</v>
      </c>
      <c r="AA2">
        <v>0</v>
      </c>
      <c r="AB2" t="s">
        <v>7</v>
      </c>
      <c r="AC2" t="s">
        <v>7</v>
      </c>
      <c r="AD2" t="s">
        <v>70</v>
      </c>
      <c r="AE2" t="s">
        <v>43</v>
      </c>
      <c r="AF2" s="7" t="str">
        <f t="shared" ref="AF2:AF33" si="0">IF(ISBLANK(S2)," ",IF(AND(S2=N2,N2&lt;&gt;"Independent"),"Y","N"))</f>
        <v>N</v>
      </c>
      <c r="AG2">
        <v>12</v>
      </c>
      <c r="AH2">
        <v>6</v>
      </c>
      <c r="AI2">
        <f>AG2-AH2</f>
        <v>6</v>
      </c>
      <c r="AJ2" t="s">
        <v>13</v>
      </c>
      <c r="AK2" s="50" t="s">
        <v>7</v>
      </c>
      <c r="AL2" s="49" t="s">
        <v>1012</v>
      </c>
      <c r="AM2" s="50" t="s">
        <v>7</v>
      </c>
      <c r="AN2" s="52" t="s">
        <v>1045</v>
      </c>
      <c r="AO2">
        <v>200</v>
      </c>
      <c r="AT2" t="s">
        <v>23</v>
      </c>
      <c r="AU2" t="s">
        <v>23</v>
      </c>
      <c r="AV2" t="s">
        <v>7</v>
      </c>
      <c r="AW2" t="s">
        <v>7</v>
      </c>
      <c r="AX2" t="s">
        <v>7</v>
      </c>
      <c r="AY2" t="s">
        <v>7</v>
      </c>
      <c r="AZ2" s="27" t="s">
        <v>7</v>
      </c>
      <c r="BA2" t="s">
        <v>7</v>
      </c>
      <c r="BB2" t="s">
        <v>7</v>
      </c>
      <c r="BC2" t="s">
        <v>7</v>
      </c>
      <c r="BD2" t="s">
        <v>7</v>
      </c>
      <c r="BE2" t="s">
        <v>7</v>
      </c>
      <c r="BF2" t="s">
        <v>7</v>
      </c>
      <c r="BG2" t="s">
        <v>7</v>
      </c>
      <c r="BH2" s="25">
        <v>1</v>
      </c>
      <c r="BI2" s="25">
        <v>1</v>
      </c>
      <c r="BJ2" s="25">
        <v>1</v>
      </c>
      <c r="BK2" s="25">
        <v>1</v>
      </c>
      <c r="BL2" s="25">
        <v>1</v>
      </c>
      <c r="BM2" s="25">
        <v>1</v>
      </c>
      <c r="BN2" s="27">
        <v>1</v>
      </c>
      <c r="BO2" s="27">
        <v>1</v>
      </c>
      <c r="BP2" s="27">
        <v>1</v>
      </c>
      <c r="BQ2" s="27">
        <v>1</v>
      </c>
      <c r="BR2" s="27" t="s">
        <v>23</v>
      </c>
      <c r="BS2" s="27" t="s">
        <v>23</v>
      </c>
      <c r="BT2" s="71" t="s">
        <v>23</v>
      </c>
      <c r="BU2" s="27" t="s">
        <v>23</v>
      </c>
      <c r="BV2" s="27"/>
      <c r="BW2" s="27"/>
      <c r="BY2" s="71" t="s">
        <v>23</v>
      </c>
      <c r="BZ2" s="7" t="s">
        <v>23</v>
      </c>
      <c r="CA2" s="7" t="s">
        <v>23</v>
      </c>
      <c r="CB2" s="7" t="s">
        <v>23</v>
      </c>
    </row>
    <row r="3" spans="1:80" x14ac:dyDescent="0.3">
      <c r="A3" s="6" t="s">
        <v>24</v>
      </c>
      <c r="B3" t="str" cm="1">
        <f t="array" aca="1" ref="B3" ca="1">CHOOSE(IF(MOD(-1*(DateTextValue(A3)-2),7)=0,7,MOD(-1*(DateTextValue(A3)-2),7)),"Sunday","Saturday","Friday","Thursday","Wednesday","Tuesday","Monday")</f>
        <v>Thursday</v>
      </c>
      <c r="C3" cm="1">
        <f t="array" aca="1" ref="C3" ca="1">DateTextValue(A3)-DateTextValue(A2)</f>
        <v>222</v>
      </c>
      <c r="D3" s="9" cm="1">
        <f t="array" aca="1" ref="D3" ca="1">DateTextValue(A3)-DateTextValue(A2)</f>
        <v>222</v>
      </c>
      <c r="E3" s="17" cm="1">
        <f t="array" aca="1" ref="E3" ca="1">DateTextValue(A3)-DateTextValue(A2)</f>
        <v>222</v>
      </c>
      <c r="F3" s="9" cm="1">
        <f t="array" aca="1" ref="F3" ca="1">DateTextValue(A3)-DateTextValue(A2)</f>
        <v>222</v>
      </c>
      <c r="G3" s="9" cm="1">
        <f t="array" aca="1" ref="G3" ca="1">DateTextValue(A3)-DateTextValue(A2)</f>
        <v>222</v>
      </c>
      <c r="H3" s="1">
        <v>0.64583333333333337</v>
      </c>
      <c r="K3" s="59" t="s">
        <v>7</v>
      </c>
      <c r="L3" s="59" t="s">
        <v>7</v>
      </c>
      <c r="M3" s="3"/>
      <c r="N3" t="s">
        <v>19</v>
      </c>
      <c r="O3" t="s">
        <v>947</v>
      </c>
      <c r="P3" s="7" t="s">
        <v>37</v>
      </c>
      <c r="Q3" t="s">
        <v>25</v>
      </c>
      <c r="R3" t="s">
        <v>43</v>
      </c>
      <c r="S3" t="s">
        <v>19</v>
      </c>
      <c r="T3" s="4" t="s">
        <v>959</v>
      </c>
      <c r="U3" t="s">
        <v>33</v>
      </c>
      <c r="V3">
        <v>0</v>
      </c>
      <c r="W3">
        <v>0</v>
      </c>
      <c r="X3">
        <v>0</v>
      </c>
      <c r="Y3">
        <v>0</v>
      </c>
      <c r="Z3">
        <v>1</v>
      </c>
      <c r="AA3">
        <v>0</v>
      </c>
      <c r="AB3" t="s">
        <v>7</v>
      </c>
      <c r="AC3" t="s">
        <v>7</v>
      </c>
      <c r="AD3" t="s">
        <v>45</v>
      </c>
      <c r="AE3" t="s">
        <v>43</v>
      </c>
      <c r="AF3" s="7" t="str">
        <f t="shared" si="0"/>
        <v>N</v>
      </c>
      <c r="AG3">
        <v>8</v>
      </c>
      <c r="AH3">
        <v>4</v>
      </c>
      <c r="AI3">
        <f>AG3-AH3</f>
        <v>4</v>
      </c>
      <c r="AJ3" t="s">
        <v>13</v>
      </c>
      <c r="AK3" s="50" t="s">
        <v>7</v>
      </c>
      <c r="AL3" s="51" t="s">
        <v>959</v>
      </c>
      <c r="AM3" s="50" t="s">
        <v>7</v>
      </c>
      <c r="AN3" s="51" t="s">
        <v>959</v>
      </c>
      <c r="AR3" t="s">
        <v>26</v>
      </c>
      <c r="AS3" t="s">
        <v>27</v>
      </c>
      <c r="AT3" s="4" t="s">
        <v>23</v>
      </c>
      <c r="AU3" t="s">
        <v>28</v>
      </c>
      <c r="AV3" t="s">
        <v>221</v>
      </c>
      <c r="AW3" t="s">
        <v>248</v>
      </c>
      <c r="AX3" t="s">
        <v>221</v>
      </c>
      <c r="AY3" t="s">
        <v>248</v>
      </c>
      <c r="AZ3">
        <v>1</v>
      </c>
      <c r="BA3" t="s">
        <v>248</v>
      </c>
      <c r="BB3">
        <v>1</v>
      </c>
      <c r="BC3" t="s">
        <v>248</v>
      </c>
      <c r="BD3">
        <v>0</v>
      </c>
      <c r="BE3" t="s">
        <v>248</v>
      </c>
      <c r="BF3">
        <v>0</v>
      </c>
      <c r="BG3" t="s">
        <v>248</v>
      </c>
      <c r="BH3" s="25">
        <v>2</v>
      </c>
      <c r="BI3" s="25">
        <v>2</v>
      </c>
      <c r="BK3" s="25">
        <v>2</v>
      </c>
      <c r="BM3" s="25">
        <v>1</v>
      </c>
      <c r="BN3" s="27">
        <v>1</v>
      </c>
      <c r="BP3" s="27">
        <v>1</v>
      </c>
      <c r="BT3" s="71" t="s">
        <v>23</v>
      </c>
      <c r="CA3" s="7" t="s">
        <v>23</v>
      </c>
    </row>
    <row r="4" spans="1:80" x14ac:dyDescent="0.3">
      <c r="A4" s="18" t="s">
        <v>29</v>
      </c>
      <c r="B4" t="str" cm="1">
        <f t="array" aca="1" ref="B4" ca="1">CHOOSE(IF(MOD(-1*(DateTextValue(A4)-2),7)=0,7,MOD(-1*(DateTextValue(A4)-2),7)),"Sunday","Saturday","Friday","Thursday","Wednesday","Tuesday","Monday")</f>
        <v>Friday</v>
      </c>
      <c r="C4" cm="1">
        <f t="array" aca="1" ref="C4" ca="1">DateTextValue(A4)-DateTextValue(A3)</f>
        <v>1</v>
      </c>
      <c r="D4" s="9" cm="1">
        <f t="array" aca="1" ref="D4" ca="1">DateTextValue(A4)-DateTextValue(A3)</f>
        <v>1</v>
      </c>
      <c r="E4" s="21" cm="1">
        <f t="array" aca="1" ref="E4" ca="1">DateTextValue(A4)-DateTextValue(A2)</f>
        <v>223</v>
      </c>
      <c r="F4" s="9" cm="1">
        <f t="array" aca="1" ref="F4" ca="1">DateTextValue(A4)-DateTextValue(A3)</f>
        <v>1</v>
      </c>
      <c r="G4" s="20" cm="1">
        <f t="array" aca="1" ref="G4" ca="1">DateTextValue(A4)-DateTextValue(A2)</f>
        <v>223</v>
      </c>
      <c r="H4" s="1">
        <v>0.5625</v>
      </c>
      <c r="K4" s="59" t="s">
        <v>7</v>
      </c>
      <c r="L4" s="59" t="s">
        <v>7</v>
      </c>
      <c r="M4" s="3"/>
      <c r="N4" t="s">
        <v>19</v>
      </c>
      <c r="O4" t="s">
        <v>947</v>
      </c>
      <c r="P4" s="7" t="s">
        <v>37</v>
      </c>
      <c r="Q4" t="s">
        <v>25</v>
      </c>
      <c r="R4" t="s">
        <v>43</v>
      </c>
      <c r="S4" t="s">
        <v>19</v>
      </c>
      <c r="T4" s="4" t="s">
        <v>959</v>
      </c>
      <c r="U4" t="s">
        <v>33</v>
      </c>
      <c r="V4">
        <v>0</v>
      </c>
      <c r="W4">
        <v>1</v>
      </c>
      <c r="X4">
        <v>0</v>
      </c>
      <c r="Y4">
        <v>0</v>
      </c>
      <c r="Z4" s="30">
        <v>1</v>
      </c>
      <c r="AA4">
        <v>0</v>
      </c>
      <c r="AB4" t="s">
        <v>7</v>
      </c>
      <c r="AC4" t="s">
        <v>7</v>
      </c>
      <c r="AD4" t="s">
        <v>45</v>
      </c>
      <c r="AE4" t="s">
        <v>43</v>
      </c>
      <c r="AF4" s="7" t="str">
        <f t="shared" si="0"/>
        <v>N</v>
      </c>
      <c r="AK4" s="50" t="s">
        <v>7</v>
      </c>
      <c r="AL4" s="51" t="s">
        <v>959</v>
      </c>
      <c r="AM4" s="50" t="s">
        <v>7</v>
      </c>
      <c r="AN4" s="51" t="s">
        <v>959</v>
      </c>
      <c r="AR4" t="s">
        <v>26</v>
      </c>
      <c r="AS4" s="67" t="s">
        <v>30</v>
      </c>
      <c r="AT4" s="22" t="s">
        <v>196</v>
      </c>
      <c r="AU4" t="s">
        <v>28</v>
      </c>
      <c r="AW4" t="s">
        <v>248</v>
      </c>
      <c r="AX4" t="s">
        <v>249</v>
      </c>
      <c r="AY4" t="s">
        <v>248</v>
      </c>
      <c r="BA4" t="s">
        <v>248</v>
      </c>
      <c r="BC4" t="s">
        <v>248</v>
      </c>
      <c r="BE4" t="s">
        <v>248</v>
      </c>
      <c r="BF4" t="s">
        <v>249</v>
      </c>
      <c r="BG4" t="s">
        <v>248</v>
      </c>
      <c r="BH4" s="25">
        <v>3</v>
      </c>
      <c r="BI4" s="25">
        <v>3</v>
      </c>
      <c r="BM4" s="25">
        <v>2</v>
      </c>
      <c r="BN4" s="27">
        <v>2</v>
      </c>
      <c r="BR4" s="27" t="s">
        <v>23</v>
      </c>
      <c r="BY4" s="71" t="s">
        <v>23</v>
      </c>
    </row>
    <row r="5" spans="1:80" x14ac:dyDescent="0.3">
      <c r="A5" s="6" t="s">
        <v>31</v>
      </c>
      <c r="B5" t="str" cm="1">
        <f t="array" aca="1" ref="B5" ca="1">CHOOSE(IF(MOD(-1*(DateTextValue(A5)-2),7)=0,7,MOD(-1*(DateTextValue(A5)-2),7)),"Sunday","Saturday","Friday","Thursday","Wednesday","Tuesday","Monday")</f>
        <v>Saturday</v>
      </c>
      <c r="C5" cm="1">
        <f t="array" aca="1" ref="C5" ca="1">DateTextValue(A5)-DateTextValue(A4)</f>
        <v>22</v>
      </c>
      <c r="D5" s="10" cm="1">
        <f t="array" aca="1" ref="D5" ca="1">DateTextValue(A5)-DateTextValue(A4)</f>
        <v>22</v>
      </c>
      <c r="E5" s="21" cm="1">
        <f t="array" aca="1" ref="E5" ca="1">DateTextValue(A5)-DateTextValue(A2)</f>
        <v>245</v>
      </c>
      <c r="F5" s="20" cm="1">
        <f t="array" aca="1" ref="F5" ca="1">DateTextValue(A5)-DateTextValue(A3)</f>
        <v>23</v>
      </c>
      <c r="G5" s="20" cm="1">
        <f t="array" aca="1" ref="G5" ca="1">DateTextValue(A5)-DateTextValue(A2)</f>
        <v>245</v>
      </c>
      <c r="I5" s="58" t="s">
        <v>7</v>
      </c>
      <c r="J5" s="58" t="s">
        <v>7</v>
      </c>
      <c r="K5" s="59" t="s">
        <v>7</v>
      </c>
      <c r="L5" s="59" t="s">
        <v>7</v>
      </c>
      <c r="M5" s="3" t="s">
        <v>7</v>
      </c>
      <c r="N5" t="s">
        <v>19</v>
      </c>
      <c r="O5" t="s">
        <v>947</v>
      </c>
      <c r="P5" s="7" t="s">
        <v>38</v>
      </c>
      <c r="Q5" t="s">
        <v>32</v>
      </c>
      <c r="R5" t="s">
        <v>44</v>
      </c>
      <c r="S5" t="s">
        <v>19</v>
      </c>
      <c r="T5" t="s">
        <v>960</v>
      </c>
      <c r="U5" t="s">
        <v>23</v>
      </c>
      <c r="V5">
        <v>3</v>
      </c>
      <c r="W5">
        <v>0</v>
      </c>
      <c r="X5">
        <v>1</v>
      </c>
      <c r="Y5">
        <v>4</v>
      </c>
      <c r="Z5" s="3">
        <v>0</v>
      </c>
      <c r="AA5">
        <v>1</v>
      </c>
      <c r="AB5" t="s">
        <v>7</v>
      </c>
      <c r="AC5" t="s">
        <v>7</v>
      </c>
      <c r="AD5" t="s">
        <v>42</v>
      </c>
      <c r="AE5" t="s">
        <v>44</v>
      </c>
      <c r="AF5" s="7" t="str">
        <f t="shared" si="0"/>
        <v>N</v>
      </c>
      <c r="AG5" t="s">
        <v>7</v>
      </c>
      <c r="AH5" t="s">
        <v>7</v>
      </c>
      <c r="AI5" t="s">
        <v>7</v>
      </c>
      <c r="AJ5" t="s">
        <v>7</v>
      </c>
      <c r="AK5" s="50" t="s">
        <v>7</v>
      </c>
      <c r="AL5" s="49" t="s">
        <v>7</v>
      </c>
      <c r="AM5" s="50" t="s">
        <v>7</v>
      </c>
      <c r="AN5" s="49" t="s">
        <v>7</v>
      </c>
      <c r="AO5" t="s">
        <v>7</v>
      </c>
      <c r="AS5" s="4" t="s">
        <v>34</v>
      </c>
      <c r="AT5" s="26" t="s">
        <v>28</v>
      </c>
      <c r="AU5" t="s">
        <v>28</v>
      </c>
      <c r="BH5" s="25">
        <v>4</v>
      </c>
      <c r="BM5" s="25">
        <v>3</v>
      </c>
    </row>
    <row r="6" spans="1:80" x14ac:dyDescent="0.3">
      <c r="A6" s="6" t="s">
        <v>35</v>
      </c>
      <c r="B6" t="str" cm="1">
        <f t="array" aca="1" ref="B6" ca="1">CHOOSE(IF(MOD(-1*(DateTextValue(A6)-2),7)=0,7,MOD(-1*(DateTextValue(A6)-2),7)),"Sunday","Saturday","Friday","Thursday","Wednesday","Tuesday","Monday")</f>
        <v>Thursday</v>
      </c>
      <c r="C6" cm="1">
        <f t="array" aca="1" ref="C6" ca="1">DateTextValue(A6)-DateTextValue(A5)</f>
        <v>334</v>
      </c>
      <c r="D6" s="12" cm="1">
        <f t="array" aca="1" ref="D6" ca="1">DateTextValue(A6)-DateTextValue(A4)</f>
        <v>356</v>
      </c>
      <c r="E6" s="21" cm="1">
        <f t="array" aca="1" ref="E6" ca="1">DateTextValue(A6)-DateTextValue(A2)</f>
        <v>579</v>
      </c>
      <c r="F6" s="20" cm="1">
        <f t="array" aca="1" ref="F6" ca="1">DateTextValue(A6)-DateTextValue(A3)</f>
        <v>357</v>
      </c>
      <c r="G6" s="20" cm="1">
        <f t="array" aca="1" ref="G6" ca="1">DateTextValue(A6)-DateTextValue(A2)</f>
        <v>579</v>
      </c>
      <c r="H6" s="1">
        <v>0.64583333333333337</v>
      </c>
      <c r="I6" s="65">
        <v>45</v>
      </c>
      <c r="J6" s="65">
        <v>25</v>
      </c>
      <c r="K6" s="59" t="s">
        <v>7</v>
      </c>
      <c r="L6" s="59" t="s">
        <v>7</v>
      </c>
      <c r="M6" s="3">
        <f t="shared" ref="M6" si="1">I6+J6</f>
        <v>70</v>
      </c>
      <c r="N6" t="s">
        <v>19</v>
      </c>
      <c r="O6" t="s">
        <v>946</v>
      </c>
      <c r="P6" s="7" t="s">
        <v>38</v>
      </c>
      <c r="Q6" t="s">
        <v>39</v>
      </c>
      <c r="R6" t="s">
        <v>46</v>
      </c>
      <c r="S6" t="s">
        <v>19</v>
      </c>
      <c r="T6" s="38" t="s">
        <v>961</v>
      </c>
      <c r="U6" t="s">
        <v>40</v>
      </c>
      <c r="V6">
        <v>0</v>
      </c>
      <c r="W6">
        <v>0</v>
      </c>
      <c r="X6">
        <v>0</v>
      </c>
      <c r="Y6">
        <v>1</v>
      </c>
      <c r="Z6">
        <v>1</v>
      </c>
      <c r="AA6">
        <v>0</v>
      </c>
      <c r="AB6" t="s">
        <v>7</v>
      </c>
      <c r="AC6" t="s">
        <v>7</v>
      </c>
      <c r="AD6" t="s">
        <v>929</v>
      </c>
      <c r="AE6" t="s">
        <v>46</v>
      </c>
      <c r="AF6" s="7" t="str">
        <f t="shared" si="0"/>
        <v>N</v>
      </c>
      <c r="AG6">
        <v>0</v>
      </c>
      <c r="AH6">
        <v>22</v>
      </c>
      <c r="AI6">
        <f t="shared" ref="AI6:AI12" si="2">AG6-AH6</f>
        <v>-22</v>
      </c>
      <c r="AJ6" t="s">
        <v>47</v>
      </c>
      <c r="AK6" s="50" t="s">
        <v>7</v>
      </c>
      <c r="AL6" s="49" t="s">
        <v>1015</v>
      </c>
      <c r="AM6" s="50" t="s">
        <v>7</v>
      </c>
      <c r="AN6" s="55" t="s">
        <v>1048</v>
      </c>
      <c r="AP6" s="72"/>
      <c r="AQ6" s="72"/>
      <c r="AR6" t="s">
        <v>48</v>
      </c>
      <c r="AS6" t="s">
        <v>89</v>
      </c>
      <c r="AT6" t="s">
        <v>23</v>
      </c>
      <c r="AU6" t="s">
        <v>23</v>
      </c>
      <c r="AV6" t="s">
        <v>223</v>
      </c>
      <c r="AW6" t="s">
        <v>221</v>
      </c>
      <c r="AX6" t="s">
        <v>223</v>
      </c>
      <c r="AY6" t="s">
        <v>221</v>
      </c>
      <c r="AZ6">
        <v>2</v>
      </c>
      <c r="BA6">
        <v>1</v>
      </c>
      <c r="BB6">
        <v>2</v>
      </c>
      <c r="BC6">
        <v>1</v>
      </c>
      <c r="BD6">
        <v>0</v>
      </c>
      <c r="BE6">
        <v>0</v>
      </c>
      <c r="BF6">
        <v>0</v>
      </c>
      <c r="BG6">
        <v>0</v>
      </c>
      <c r="BH6" s="25">
        <v>5</v>
      </c>
      <c r="BI6" s="25">
        <v>4</v>
      </c>
      <c r="BJ6" s="25">
        <v>2</v>
      </c>
      <c r="BK6" s="25">
        <v>3</v>
      </c>
      <c r="BL6" s="25">
        <v>2</v>
      </c>
      <c r="BM6" s="25">
        <v>1</v>
      </c>
      <c r="BN6" s="27">
        <v>1</v>
      </c>
      <c r="BO6" s="27">
        <v>1</v>
      </c>
      <c r="BP6" s="27">
        <v>1</v>
      </c>
      <c r="BQ6" s="27">
        <v>1</v>
      </c>
    </row>
    <row r="7" spans="1:80" x14ac:dyDescent="0.3">
      <c r="A7" s="6" t="s">
        <v>50</v>
      </c>
      <c r="B7" t="str" cm="1">
        <f t="array" aca="1" ref="B7" ca="1">CHOOSE(IF(MOD(-1*(DateTextValue(A7)-2),7)=0,7,MOD(-1*(DateTextValue(A7)-2),7)),"Sunday","Saturday","Friday","Thursday","Wednesday","Tuesday","Monday")</f>
        <v>Tuesday</v>
      </c>
      <c r="C7" cm="1">
        <f t="array" aca="1" ref="C7" ca="1">DateTextValue(A7)-DateTextValue(A6)</f>
        <v>26</v>
      </c>
      <c r="D7" s="9" cm="1">
        <f t="array" aca="1" ref="D7" ca="1">DateTextValue(A7)-DateTextValue(A6)</f>
        <v>26</v>
      </c>
      <c r="E7" s="17" cm="1">
        <f t="array" aca="1" ref="E7" ca="1">DateTextValue(A7)-DateTextValue(A6)</f>
        <v>26</v>
      </c>
      <c r="F7" s="9" cm="1">
        <f t="array" aca="1" ref="F7" ca="1">DateTextValue(A7)-DateTextValue(A6)</f>
        <v>26</v>
      </c>
      <c r="G7" s="9" cm="1">
        <f t="array" aca="1" ref="G7" ca="1">DateTextValue(A7)-DateTextValue(A6)</f>
        <v>26</v>
      </c>
      <c r="H7" s="1">
        <v>0.66666666666666663</v>
      </c>
      <c r="I7" s="58">
        <v>30</v>
      </c>
      <c r="J7" s="58">
        <v>30</v>
      </c>
      <c r="K7" s="59" t="s">
        <v>7</v>
      </c>
      <c r="L7" s="59" t="s">
        <v>7</v>
      </c>
      <c r="M7">
        <v>60</v>
      </c>
      <c r="N7" t="s">
        <v>19</v>
      </c>
      <c r="O7" t="s">
        <v>946</v>
      </c>
      <c r="P7" s="7" t="s">
        <v>37</v>
      </c>
      <c r="Q7" t="s">
        <v>51</v>
      </c>
      <c r="R7" t="s">
        <v>52</v>
      </c>
      <c r="S7" t="s">
        <v>19</v>
      </c>
      <c r="T7" s="38" t="s">
        <v>961</v>
      </c>
      <c r="U7" t="s">
        <v>23</v>
      </c>
      <c r="V7">
        <v>0</v>
      </c>
      <c r="W7">
        <v>4</v>
      </c>
      <c r="X7">
        <v>0</v>
      </c>
      <c r="Y7">
        <v>2</v>
      </c>
      <c r="Z7">
        <v>5</v>
      </c>
      <c r="AA7">
        <v>0</v>
      </c>
      <c r="AB7" t="s">
        <v>7</v>
      </c>
      <c r="AC7" t="s">
        <v>7</v>
      </c>
      <c r="AD7" t="s">
        <v>70</v>
      </c>
      <c r="AE7" t="s">
        <v>43</v>
      </c>
      <c r="AF7" s="7" t="str">
        <f t="shared" si="0"/>
        <v>N</v>
      </c>
      <c r="AG7">
        <v>12</v>
      </c>
      <c r="AH7">
        <v>6</v>
      </c>
      <c r="AI7">
        <f t="shared" si="2"/>
        <v>6</v>
      </c>
      <c r="AJ7" t="s">
        <v>13</v>
      </c>
      <c r="AK7" s="50" t="s">
        <v>7</v>
      </c>
      <c r="AL7" s="49" t="s">
        <v>253</v>
      </c>
      <c r="AM7" s="50" t="s">
        <v>7</v>
      </c>
      <c r="AN7" s="52" t="s">
        <v>1049</v>
      </c>
      <c r="AT7" t="s">
        <v>23</v>
      </c>
      <c r="AU7" t="s">
        <v>23</v>
      </c>
      <c r="AV7" t="s">
        <v>222</v>
      </c>
      <c r="AW7" t="s">
        <v>222</v>
      </c>
      <c r="AX7" t="s">
        <v>222</v>
      </c>
      <c r="AY7" t="s">
        <v>222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 s="25">
        <v>6</v>
      </c>
      <c r="BI7" s="25">
        <v>5</v>
      </c>
      <c r="BJ7" s="25">
        <v>3</v>
      </c>
      <c r="BK7" s="25">
        <v>4</v>
      </c>
      <c r="BL7" s="25">
        <v>3</v>
      </c>
      <c r="BM7" s="25">
        <v>2</v>
      </c>
      <c r="BN7" s="27">
        <v>2</v>
      </c>
      <c r="BO7" s="27">
        <v>2</v>
      </c>
      <c r="BP7" s="27">
        <v>2</v>
      </c>
      <c r="BQ7" s="27">
        <v>2</v>
      </c>
    </row>
    <row r="8" spans="1:80" x14ac:dyDescent="0.3">
      <c r="A8" s="6" t="s">
        <v>53</v>
      </c>
      <c r="B8" t="str" cm="1">
        <f t="array" aca="1" ref="B8" ca="1">CHOOSE(IF(MOD(-1*(DateTextValue(A8)-2),7)=0,7,MOD(-1*(DateTextValue(A8)-2),7)),"Sunday","Saturday","Friday","Thursday","Wednesday","Tuesday","Monday")</f>
        <v>Friday</v>
      </c>
      <c r="C8" cm="1">
        <f t="array" aca="1" ref="C8" ca="1">DateTextValue(A8)-DateTextValue(A7)</f>
        <v>10</v>
      </c>
      <c r="D8" s="9" cm="1">
        <f t="array" aca="1" ref="D8" ca="1">DateTextValue(A8)-DateTextValue(A7)</f>
        <v>10</v>
      </c>
      <c r="E8" s="17" cm="1">
        <f t="array" aca="1" ref="E8" ca="1">DateTextValue(A8)-DateTextValue(A7)</f>
        <v>10</v>
      </c>
      <c r="F8" s="9" cm="1">
        <f t="array" aca="1" ref="F8" ca="1">DateTextValue(A8)-DateTextValue(A7)</f>
        <v>10</v>
      </c>
      <c r="G8" s="9" cm="1">
        <f t="array" aca="1" ref="G8" ca="1">DateTextValue(A8)-DateTextValue(A7)</f>
        <v>10</v>
      </c>
      <c r="H8" s="1">
        <v>0.64583333333333337</v>
      </c>
      <c r="K8" s="59" t="s">
        <v>7</v>
      </c>
      <c r="L8" s="59" t="s">
        <v>7</v>
      </c>
      <c r="N8" t="s">
        <v>19</v>
      </c>
      <c r="O8" t="s">
        <v>946</v>
      </c>
      <c r="P8" s="7" t="s">
        <v>37</v>
      </c>
      <c r="Q8" t="s">
        <v>39</v>
      </c>
      <c r="R8" t="s">
        <v>46</v>
      </c>
      <c r="S8" t="s">
        <v>19</v>
      </c>
      <c r="T8" s="38" t="s">
        <v>961</v>
      </c>
      <c r="U8" t="s">
        <v>40</v>
      </c>
      <c r="V8">
        <v>1</v>
      </c>
      <c r="W8">
        <v>0</v>
      </c>
      <c r="X8">
        <v>0</v>
      </c>
      <c r="Y8">
        <v>1</v>
      </c>
      <c r="Z8">
        <v>1</v>
      </c>
      <c r="AA8">
        <v>0</v>
      </c>
      <c r="AB8" t="s">
        <v>7</v>
      </c>
      <c r="AC8" t="s">
        <v>7</v>
      </c>
      <c r="AD8" t="s">
        <v>70</v>
      </c>
      <c r="AE8" t="s">
        <v>43</v>
      </c>
      <c r="AF8" s="7" t="str">
        <f t="shared" si="0"/>
        <v>N</v>
      </c>
      <c r="AG8">
        <v>8</v>
      </c>
      <c r="AH8">
        <v>6</v>
      </c>
      <c r="AI8">
        <f t="shared" si="2"/>
        <v>2</v>
      </c>
      <c r="AJ8" t="s">
        <v>13</v>
      </c>
      <c r="AK8" s="50" t="s">
        <v>7</v>
      </c>
      <c r="AL8" s="49" t="s">
        <v>1016</v>
      </c>
      <c r="AM8" s="50" t="s">
        <v>7</v>
      </c>
      <c r="AN8" s="53" t="s">
        <v>1050</v>
      </c>
      <c r="AP8" s="72"/>
      <c r="AQ8" s="72"/>
      <c r="AT8" t="s">
        <v>23</v>
      </c>
      <c r="AU8" t="s">
        <v>23</v>
      </c>
      <c r="AV8" t="s">
        <v>221</v>
      </c>
      <c r="AW8" t="s">
        <v>221</v>
      </c>
      <c r="AX8" t="s">
        <v>221</v>
      </c>
      <c r="AY8" t="s">
        <v>221</v>
      </c>
      <c r="AZ8">
        <v>1</v>
      </c>
      <c r="BA8">
        <v>1</v>
      </c>
      <c r="BB8">
        <v>1</v>
      </c>
      <c r="BC8">
        <v>1</v>
      </c>
      <c r="BD8">
        <v>0</v>
      </c>
      <c r="BE8">
        <v>0</v>
      </c>
      <c r="BF8">
        <v>0</v>
      </c>
      <c r="BG8">
        <v>0</v>
      </c>
      <c r="BH8" s="25">
        <v>7</v>
      </c>
      <c r="BI8" s="25">
        <v>6</v>
      </c>
      <c r="BJ8" s="25">
        <v>4</v>
      </c>
      <c r="BK8" s="25">
        <v>5</v>
      </c>
      <c r="BL8" s="25">
        <v>4</v>
      </c>
      <c r="BM8" s="25">
        <v>3</v>
      </c>
      <c r="BN8" s="27">
        <v>3</v>
      </c>
      <c r="BO8" s="27">
        <v>3</v>
      </c>
      <c r="BP8" s="27">
        <v>3</v>
      </c>
      <c r="BQ8" s="27">
        <v>3</v>
      </c>
    </row>
    <row r="9" spans="1:80" x14ac:dyDescent="0.3">
      <c r="A9" s="6" t="s">
        <v>54</v>
      </c>
      <c r="B9" t="str" cm="1">
        <f t="array" aca="1" ref="B9" ca="1">CHOOSE(IF(MOD(-1*(DateTextValue(A9)-2),7)=0,7,MOD(-1*(DateTextValue(A9)-2),7)),"Sunday","Saturday","Friday","Thursday","Wednesday","Tuesday","Monday")</f>
        <v>Thursday</v>
      </c>
      <c r="C9" cm="1">
        <f t="array" aca="1" ref="C9" ca="1">DateTextValue(A9)-DateTextValue(A8)</f>
        <v>13</v>
      </c>
      <c r="D9" s="9" cm="1">
        <f t="array" aca="1" ref="D9" ca="1">DateTextValue(A9)-DateTextValue(A8)</f>
        <v>13</v>
      </c>
      <c r="E9" s="17" cm="1">
        <f t="array" aca="1" ref="E9" ca="1">DateTextValue(A9)-DateTextValue(A8)</f>
        <v>13</v>
      </c>
      <c r="F9" s="9" cm="1">
        <f t="array" aca="1" ref="F9" ca="1">DateTextValue(A9)-DateTextValue(A8)</f>
        <v>13</v>
      </c>
      <c r="G9" s="9" cm="1">
        <f t="array" aca="1" ref="G9" ca="1">DateTextValue(A9)-DateTextValue(A8)</f>
        <v>13</v>
      </c>
      <c r="H9" s="1">
        <v>0.60416666666666663</v>
      </c>
      <c r="I9" s="58">
        <v>45</v>
      </c>
      <c r="J9" s="58">
        <v>45</v>
      </c>
      <c r="K9" s="59" t="s">
        <v>7</v>
      </c>
      <c r="L9" s="59" t="s">
        <v>7</v>
      </c>
      <c r="M9">
        <v>90</v>
      </c>
      <c r="N9" t="s">
        <v>19</v>
      </c>
      <c r="O9" t="s">
        <v>946</v>
      </c>
      <c r="P9" s="7" t="s">
        <v>28</v>
      </c>
      <c r="Q9" t="s">
        <v>55</v>
      </c>
      <c r="R9" t="s">
        <v>56</v>
      </c>
      <c r="S9" t="s">
        <v>19</v>
      </c>
      <c r="T9" s="4" t="s">
        <v>959</v>
      </c>
      <c r="U9" t="s">
        <v>33</v>
      </c>
      <c r="V9">
        <v>0</v>
      </c>
      <c r="W9">
        <v>1</v>
      </c>
      <c r="X9">
        <v>0</v>
      </c>
      <c r="Y9">
        <v>0</v>
      </c>
      <c r="Z9">
        <v>3</v>
      </c>
      <c r="AA9">
        <v>0</v>
      </c>
      <c r="AB9" t="s">
        <v>7</v>
      </c>
      <c r="AC9" t="s">
        <v>7</v>
      </c>
      <c r="AD9" t="s">
        <v>57</v>
      </c>
      <c r="AE9" t="s">
        <v>58</v>
      </c>
      <c r="AF9" s="7" t="str">
        <f t="shared" si="0"/>
        <v>N</v>
      </c>
      <c r="AG9">
        <v>24</v>
      </c>
      <c r="AH9">
        <v>8</v>
      </c>
      <c r="AI9">
        <f t="shared" si="2"/>
        <v>16</v>
      </c>
      <c r="AJ9" t="s">
        <v>13</v>
      </c>
      <c r="AK9" s="50" t="s">
        <v>7</v>
      </c>
      <c r="AL9" s="51" t="s">
        <v>959</v>
      </c>
      <c r="AM9" s="50" t="s">
        <v>7</v>
      </c>
      <c r="AN9" s="51" t="s">
        <v>959</v>
      </c>
      <c r="AO9">
        <v>1000</v>
      </c>
      <c r="AR9" t="s">
        <v>59</v>
      </c>
      <c r="AT9" t="s">
        <v>23</v>
      </c>
      <c r="AU9" t="s">
        <v>23</v>
      </c>
      <c r="AV9" t="s">
        <v>223</v>
      </c>
      <c r="AW9" t="s">
        <v>223</v>
      </c>
      <c r="AX9" t="s">
        <v>223</v>
      </c>
      <c r="AY9" t="s">
        <v>223</v>
      </c>
      <c r="AZ9">
        <v>2</v>
      </c>
      <c r="BA9">
        <v>2</v>
      </c>
      <c r="BB9">
        <v>2</v>
      </c>
      <c r="BC9">
        <v>2</v>
      </c>
      <c r="BD9">
        <v>0</v>
      </c>
      <c r="BE9">
        <v>0</v>
      </c>
      <c r="BF9">
        <v>0</v>
      </c>
      <c r="BG9">
        <v>0</v>
      </c>
      <c r="BH9" s="25">
        <v>8</v>
      </c>
      <c r="BI9" s="25">
        <v>7</v>
      </c>
      <c r="BJ9" s="25">
        <v>5</v>
      </c>
      <c r="BK9" s="25">
        <v>6</v>
      </c>
      <c r="BL9" s="25">
        <v>5</v>
      </c>
      <c r="BM9" s="25">
        <v>4</v>
      </c>
      <c r="BN9" s="27">
        <v>4</v>
      </c>
      <c r="BO9" s="27">
        <v>4</v>
      </c>
      <c r="BP9" s="27">
        <v>4</v>
      </c>
      <c r="BQ9" s="27">
        <v>4</v>
      </c>
    </row>
    <row r="10" spans="1:80" x14ac:dyDescent="0.3">
      <c r="A10" s="6" t="s">
        <v>60</v>
      </c>
      <c r="B10" t="str" cm="1">
        <f t="array" aca="1" ref="B10" ca="1">CHOOSE(IF(MOD(-1*(DateTextValue(A10)-2),7)=0,7,MOD(-1*(DateTextValue(A10)-2),7)),"Sunday","Saturday","Friday","Thursday","Wednesday","Tuesday","Monday")</f>
        <v>Friday</v>
      </c>
      <c r="C10" cm="1">
        <f t="array" aca="1" ref="C10" ca="1">DateTextValue(A10)-DateTextValue(A9)</f>
        <v>1</v>
      </c>
      <c r="D10" s="9" cm="1">
        <f t="array" aca="1" ref="D10" ca="1">DateTextValue(A10)-DateTextValue(A9)</f>
        <v>1</v>
      </c>
      <c r="E10" s="17" cm="1">
        <f t="array" aca="1" ref="E10" ca="1">DateTextValue(A10)-DateTextValue(A9)</f>
        <v>1</v>
      </c>
      <c r="F10" s="9" cm="1">
        <f t="array" aca="1" ref="F10" ca="1">DateTextValue(A10)-DateTextValue(A9)</f>
        <v>1</v>
      </c>
      <c r="G10" s="9" cm="1">
        <f t="array" aca="1" ref="G10" ca="1">DateTextValue(A10)-DateTextValue(A9)</f>
        <v>1</v>
      </c>
      <c r="I10" s="58">
        <v>30</v>
      </c>
      <c r="J10" s="58">
        <v>30</v>
      </c>
      <c r="K10" s="59" t="s">
        <v>7</v>
      </c>
      <c r="L10" s="59" t="s">
        <v>7</v>
      </c>
      <c r="M10">
        <v>60</v>
      </c>
      <c r="N10" t="s">
        <v>19</v>
      </c>
      <c r="O10" t="s">
        <v>946</v>
      </c>
      <c r="P10" s="7" t="s">
        <v>28</v>
      </c>
      <c r="Q10" t="s">
        <v>55</v>
      </c>
      <c r="R10" t="s">
        <v>56</v>
      </c>
      <c r="S10" t="s">
        <v>19</v>
      </c>
      <c r="T10" s="4" t="s">
        <v>959</v>
      </c>
      <c r="U10" t="s">
        <v>33</v>
      </c>
      <c r="V10">
        <v>0</v>
      </c>
      <c r="W10">
        <v>2</v>
      </c>
      <c r="X10">
        <v>0</v>
      </c>
      <c r="Y10">
        <v>0</v>
      </c>
      <c r="Z10">
        <v>3</v>
      </c>
      <c r="AA10">
        <v>0</v>
      </c>
      <c r="AB10" t="s">
        <v>7</v>
      </c>
      <c r="AC10" t="s">
        <v>7</v>
      </c>
      <c r="AD10" t="s">
        <v>61</v>
      </c>
      <c r="AE10" t="s">
        <v>62</v>
      </c>
      <c r="AF10" s="7" t="str">
        <f t="shared" si="0"/>
        <v>N</v>
      </c>
      <c r="AG10">
        <v>12</v>
      </c>
      <c r="AH10">
        <v>6</v>
      </c>
      <c r="AI10">
        <f t="shared" si="2"/>
        <v>6</v>
      </c>
      <c r="AJ10" t="s">
        <v>13</v>
      </c>
      <c r="AK10" s="50" t="s">
        <v>7</v>
      </c>
      <c r="AL10" s="51" t="s">
        <v>959</v>
      </c>
      <c r="AM10" s="50" t="s">
        <v>7</v>
      </c>
      <c r="AN10" s="51" t="s">
        <v>959</v>
      </c>
      <c r="AT10" t="s">
        <v>23</v>
      </c>
      <c r="AU10" t="s">
        <v>23</v>
      </c>
      <c r="AV10" t="s">
        <v>224</v>
      </c>
      <c r="AW10" t="s">
        <v>224</v>
      </c>
      <c r="AX10" t="s">
        <v>224</v>
      </c>
      <c r="AY10" t="s">
        <v>224</v>
      </c>
      <c r="AZ10">
        <v>3</v>
      </c>
      <c r="BA10">
        <v>3</v>
      </c>
      <c r="BB10">
        <v>3</v>
      </c>
      <c r="BC10">
        <v>3</v>
      </c>
      <c r="BD10">
        <v>0</v>
      </c>
      <c r="BE10">
        <v>0</v>
      </c>
      <c r="BF10">
        <v>0</v>
      </c>
      <c r="BG10">
        <v>0</v>
      </c>
      <c r="BH10" s="25">
        <v>9</v>
      </c>
      <c r="BI10" s="25">
        <v>8</v>
      </c>
      <c r="BJ10" s="25">
        <v>6</v>
      </c>
      <c r="BK10" s="25">
        <v>7</v>
      </c>
      <c r="BL10" s="25">
        <v>6</v>
      </c>
      <c r="BM10" s="25">
        <v>5</v>
      </c>
      <c r="BN10" s="27">
        <v>5</v>
      </c>
      <c r="BO10" s="27">
        <v>5</v>
      </c>
      <c r="BP10" s="27">
        <v>5</v>
      </c>
      <c r="BQ10" s="27">
        <v>5</v>
      </c>
      <c r="BT10" s="71" t="s">
        <v>23</v>
      </c>
      <c r="BU10" s="25" t="s">
        <v>23</v>
      </c>
      <c r="CA10" s="7" t="s">
        <v>23</v>
      </c>
      <c r="CB10" s="7" t="s">
        <v>23</v>
      </c>
    </row>
    <row r="11" spans="1:80" x14ac:dyDescent="0.3">
      <c r="A11" s="18" t="s">
        <v>63</v>
      </c>
      <c r="B11" s="38" t="s">
        <v>1229</v>
      </c>
      <c r="C11" cm="1">
        <f t="array" aca="1" ref="C11" ca="1">DateTextValue(A11)-DateTextValue(A10)</f>
        <v>30</v>
      </c>
      <c r="D11" s="19" cm="1">
        <f t="array" aca="1" ref="D11" ca="1">DateTextValue(A11)-DateTextValue(A10)</f>
        <v>30</v>
      </c>
      <c r="E11" s="17" cm="1">
        <f t="array" aca="1" ref="E11" ca="1">DateTextValue(A11)-DateTextValue(A10)</f>
        <v>30</v>
      </c>
      <c r="F11" s="9" cm="1">
        <f t="array" aca="1" ref="F11" ca="1">DateTextValue(A11)-DateTextValue(A10)</f>
        <v>30</v>
      </c>
      <c r="G11" s="9" cm="1">
        <f t="array" aca="1" ref="G11" ca="1">DateTextValue(A11)-DateTextValue(A10)</f>
        <v>30</v>
      </c>
      <c r="K11" s="59" t="s">
        <v>7</v>
      </c>
      <c r="L11" s="59" t="s">
        <v>7</v>
      </c>
      <c r="N11" t="s">
        <v>19</v>
      </c>
      <c r="O11" t="s">
        <v>946</v>
      </c>
      <c r="P11" s="7" t="s">
        <v>37</v>
      </c>
      <c r="Q11" t="s">
        <v>6</v>
      </c>
      <c r="R11" t="s">
        <v>43</v>
      </c>
      <c r="S11" t="s">
        <v>19</v>
      </c>
      <c r="T11" s="25" t="s">
        <v>946</v>
      </c>
      <c r="U11" t="s">
        <v>33</v>
      </c>
      <c r="V11">
        <v>1</v>
      </c>
      <c r="W11">
        <v>0</v>
      </c>
      <c r="X11">
        <v>0</v>
      </c>
      <c r="Y11">
        <v>1</v>
      </c>
      <c r="Z11">
        <v>1</v>
      </c>
      <c r="AA11">
        <v>0</v>
      </c>
      <c r="AB11" t="s">
        <v>7</v>
      </c>
      <c r="AC11" t="s">
        <v>7</v>
      </c>
      <c r="AE11" t="s">
        <v>43</v>
      </c>
      <c r="AF11" s="7" t="str">
        <f t="shared" si="0"/>
        <v>N</v>
      </c>
      <c r="AG11">
        <v>13</v>
      </c>
      <c r="AH11">
        <v>0</v>
      </c>
      <c r="AI11">
        <f t="shared" si="2"/>
        <v>13</v>
      </c>
      <c r="AJ11" t="s">
        <v>13</v>
      </c>
      <c r="AK11" s="50" t="s">
        <v>7</v>
      </c>
      <c r="AL11" s="51" t="s">
        <v>959</v>
      </c>
      <c r="AM11" s="50" t="s">
        <v>7</v>
      </c>
      <c r="AN11" s="51" t="s">
        <v>1059</v>
      </c>
      <c r="AS11" s="67" t="s">
        <v>30</v>
      </c>
      <c r="AT11" s="22" t="s">
        <v>196</v>
      </c>
      <c r="AU11" t="s">
        <v>23</v>
      </c>
      <c r="AV11" t="s">
        <v>225</v>
      </c>
      <c r="AW11" t="s">
        <v>225</v>
      </c>
      <c r="AX11" t="s">
        <v>249</v>
      </c>
      <c r="AY11" t="s">
        <v>249</v>
      </c>
      <c r="AZ11">
        <v>4</v>
      </c>
      <c r="BA11">
        <v>4</v>
      </c>
      <c r="BB11" t="s">
        <v>249</v>
      </c>
      <c r="BC11" t="s">
        <v>249</v>
      </c>
      <c r="BD11">
        <v>0</v>
      </c>
      <c r="BE11">
        <v>0</v>
      </c>
      <c r="BF11" t="s">
        <v>249</v>
      </c>
      <c r="BG11" t="s">
        <v>249</v>
      </c>
      <c r="BH11" s="25">
        <v>10</v>
      </c>
      <c r="BI11" s="25">
        <v>9</v>
      </c>
      <c r="BJ11" s="25">
        <v>7</v>
      </c>
      <c r="BM11" s="25">
        <v>6</v>
      </c>
      <c r="BN11" s="27">
        <v>6</v>
      </c>
      <c r="BO11" s="27">
        <v>6</v>
      </c>
      <c r="BR11" s="27" t="s">
        <v>23</v>
      </c>
      <c r="BS11" s="27" t="s">
        <v>23</v>
      </c>
      <c r="BY11" s="71" t="s">
        <v>23</v>
      </c>
      <c r="BZ11" s="7" t="s">
        <v>23</v>
      </c>
    </row>
    <row r="12" spans="1:80" x14ac:dyDescent="0.3">
      <c r="A12" s="6" t="s">
        <v>64</v>
      </c>
      <c r="B12" t="str" cm="1">
        <f t="array" aca="1" ref="B12" ca="1">CHOOSE(IF(MOD(-1*(DateTextValue(A12)-2),7)=0,7,MOD(-1*(DateTextValue(A12)-2),7)),"Sunday","Saturday","Friday","Thursday","Wednesday","Tuesday","Monday")</f>
        <v>Friday</v>
      </c>
      <c r="C12" cm="1">
        <f t="array" aca="1" ref="C12" ca="1">DateTextValue(A12)-DateTextValue(A11)</f>
        <v>285</v>
      </c>
      <c r="D12" s="11" cm="1">
        <f t="array" aca="1" ref="D12" ca="1">DateTextValue(A12)-DateTextValue(A11)</f>
        <v>285</v>
      </c>
      <c r="E12" s="17" cm="1">
        <f t="array" aca="1" ref="E12" ca="1">DateTextValue(A12)-DateTextValue(A11)</f>
        <v>285</v>
      </c>
      <c r="F12" s="20" cm="1">
        <f t="array" aca="1" ref="F12" ca="1">DateTextValue(A12)-DateTextValue(A10)</f>
        <v>315</v>
      </c>
      <c r="G12" s="20" cm="1">
        <f t="array" aca="1" ref="G12" ca="1">DateTextValue(A12)-DateTextValue(A10)</f>
        <v>315</v>
      </c>
      <c r="I12" s="58">
        <v>20</v>
      </c>
      <c r="J12" s="58">
        <v>20</v>
      </c>
      <c r="K12" s="59" t="s">
        <v>7</v>
      </c>
      <c r="L12" s="59" t="s">
        <v>7</v>
      </c>
      <c r="M12">
        <v>40</v>
      </c>
      <c r="N12" t="s">
        <v>19</v>
      </c>
      <c r="O12" t="s">
        <v>946</v>
      </c>
      <c r="P12" s="7" t="s">
        <v>38</v>
      </c>
      <c r="Q12" t="s">
        <v>65</v>
      </c>
      <c r="R12" t="s">
        <v>46</v>
      </c>
      <c r="S12" t="s">
        <v>19</v>
      </c>
      <c r="T12" s="25" t="s">
        <v>962</v>
      </c>
      <c r="U12" t="s">
        <v>23</v>
      </c>
      <c r="V12">
        <v>0</v>
      </c>
      <c r="W12">
        <v>0</v>
      </c>
      <c r="X12">
        <v>0</v>
      </c>
      <c r="Y12">
        <v>6</v>
      </c>
      <c r="Z12">
        <v>3</v>
      </c>
      <c r="AA12">
        <v>0</v>
      </c>
      <c r="AB12" t="s">
        <v>7</v>
      </c>
      <c r="AC12" t="s">
        <v>7</v>
      </c>
      <c r="AD12" t="s">
        <v>929</v>
      </c>
      <c r="AE12" t="s">
        <v>46</v>
      </c>
      <c r="AF12" s="7" t="str">
        <f t="shared" si="0"/>
        <v>N</v>
      </c>
      <c r="AG12">
        <v>0</v>
      </c>
      <c r="AH12">
        <v>44</v>
      </c>
      <c r="AI12">
        <f t="shared" si="2"/>
        <v>-44</v>
      </c>
      <c r="AJ12" t="s">
        <v>47</v>
      </c>
      <c r="AK12" s="50" t="s">
        <v>7</v>
      </c>
      <c r="AL12" s="49" t="s">
        <v>1022</v>
      </c>
      <c r="AM12" s="50" t="s">
        <v>7</v>
      </c>
      <c r="AN12" s="52" t="s">
        <v>1051</v>
      </c>
      <c r="AO12">
        <v>300</v>
      </c>
      <c r="AR12" t="s">
        <v>48</v>
      </c>
      <c r="AT12" t="s">
        <v>23</v>
      </c>
      <c r="AU12" t="s">
        <v>23</v>
      </c>
      <c r="AV12" t="s">
        <v>226</v>
      </c>
      <c r="AW12" t="s">
        <v>226</v>
      </c>
      <c r="AX12" t="s">
        <v>225</v>
      </c>
      <c r="AY12" t="s">
        <v>225</v>
      </c>
      <c r="AZ12">
        <v>5</v>
      </c>
      <c r="BA12">
        <v>5</v>
      </c>
      <c r="BB12">
        <v>4</v>
      </c>
      <c r="BC12">
        <v>4</v>
      </c>
      <c r="BD12">
        <v>0</v>
      </c>
      <c r="BE12">
        <v>0</v>
      </c>
      <c r="BF12">
        <v>0</v>
      </c>
      <c r="BG12">
        <v>0</v>
      </c>
      <c r="BH12" s="25">
        <v>11</v>
      </c>
      <c r="BI12" s="25">
        <v>10</v>
      </c>
      <c r="BJ12" s="25">
        <v>8</v>
      </c>
      <c r="BK12" s="25">
        <v>8</v>
      </c>
      <c r="BL12" s="25">
        <v>7</v>
      </c>
      <c r="BM12" s="25">
        <v>1</v>
      </c>
      <c r="BN12" s="27">
        <v>1</v>
      </c>
      <c r="BO12" s="27">
        <v>1</v>
      </c>
      <c r="BP12" s="27">
        <v>1</v>
      </c>
      <c r="BQ12" s="27">
        <v>1</v>
      </c>
    </row>
    <row r="13" spans="1:80" x14ac:dyDescent="0.3">
      <c r="A13" s="6" t="s">
        <v>72</v>
      </c>
      <c r="B13" t="str" cm="1">
        <f t="array" aca="1" ref="B13" ca="1">CHOOSE(IF(MOD(-1*(DateTextValue(A13)-2),7)=0,7,MOD(-1*(DateTextValue(A13)-2),7)),"Sunday","Saturday","Friday","Thursday","Wednesday","Tuesday","Monday")</f>
        <v>Saturday</v>
      </c>
      <c r="C13" cm="1">
        <f t="array" aca="1" ref="C13" ca="1">DateTextValue(A13)-DateTextValue(A12)</f>
        <v>1</v>
      </c>
      <c r="D13" s="10" cm="1">
        <f t="array" aca="1" ref="D13" ca="1">DateTextValue(A13)-DateTextValue(A12)</f>
        <v>1</v>
      </c>
      <c r="E13" s="17" cm="1">
        <f t="array" aca="1" ref="E13" ca="1">DateTextValue(A13)-DateTextValue(A12)</f>
        <v>1</v>
      </c>
      <c r="F13" s="9" cm="1">
        <f t="array" aca="1" ref="F13" ca="1">DateTextValue(A13)-DateTextValue(A12)</f>
        <v>1</v>
      </c>
      <c r="G13" s="9" cm="1">
        <f t="array" aca="1" ref="G13" ca="1">DateTextValue(A13)-DateTextValue(A12)</f>
        <v>1</v>
      </c>
      <c r="I13" s="58" t="s">
        <v>7</v>
      </c>
      <c r="J13" s="58" t="s">
        <v>7</v>
      </c>
      <c r="K13" s="59" t="s">
        <v>7</v>
      </c>
      <c r="L13" s="59" t="s">
        <v>7</v>
      </c>
      <c r="M13" t="s">
        <v>7</v>
      </c>
      <c r="N13" t="s">
        <v>19</v>
      </c>
      <c r="O13" t="s">
        <v>946</v>
      </c>
      <c r="P13" s="7" t="s">
        <v>38</v>
      </c>
      <c r="Q13" t="s">
        <v>65</v>
      </c>
      <c r="R13" t="s">
        <v>46</v>
      </c>
      <c r="S13" t="s">
        <v>19</v>
      </c>
      <c r="T13" s="25" t="s">
        <v>962</v>
      </c>
      <c r="U13" t="s">
        <v>23</v>
      </c>
      <c r="V13">
        <v>1</v>
      </c>
      <c r="W13">
        <v>0</v>
      </c>
      <c r="X13">
        <v>0</v>
      </c>
      <c r="Y13">
        <v>6</v>
      </c>
      <c r="Z13">
        <v>3</v>
      </c>
      <c r="AA13">
        <v>0</v>
      </c>
      <c r="AB13" t="s">
        <v>7</v>
      </c>
      <c r="AC13" t="s">
        <v>7</v>
      </c>
      <c r="AD13" t="s">
        <v>929</v>
      </c>
      <c r="AE13" t="s">
        <v>46</v>
      </c>
      <c r="AF13" s="7" t="str">
        <f t="shared" si="0"/>
        <v>N</v>
      </c>
      <c r="AG13" t="s">
        <v>7</v>
      </c>
      <c r="AH13" t="s">
        <v>7</v>
      </c>
      <c r="AI13" t="s">
        <v>7</v>
      </c>
      <c r="AJ13" t="s">
        <v>7</v>
      </c>
      <c r="AK13" s="50" t="s">
        <v>7</v>
      </c>
      <c r="AL13" s="49" t="s">
        <v>7</v>
      </c>
      <c r="AM13" s="50" t="s">
        <v>7</v>
      </c>
      <c r="AN13" s="49" t="s">
        <v>7</v>
      </c>
      <c r="AO13" t="s">
        <v>7</v>
      </c>
      <c r="AS13" t="s">
        <v>78</v>
      </c>
      <c r="AT13" s="26" t="s">
        <v>28</v>
      </c>
      <c r="AU13" t="s">
        <v>28</v>
      </c>
      <c r="BH13" s="25">
        <v>12</v>
      </c>
      <c r="BM13" s="25">
        <v>2</v>
      </c>
    </row>
    <row r="14" spans="1:80" x14ac:dyDescent="0.3">
      <c r="A14" s="6" t="s">
        <v>66</v>
      </c>
      <c r="B14" t="str" cm="1">
        <f t="array" aca="1" ref="B14" ca="1">CHOOSE(IF(MOD(-1*(DateTextValue(A14)-2),7)=0,7,MOD(-1*(DateTextValue(A14)-2),7)),"Sunday","Saturday","Friday","Thursday","Wednesday","Tuesday","Monday")</f>
        <v>Saturday</v>
      </c>
      <c r="C14" cm="1">
        <f t="array" aca="1" ref="C14" ca="1">DateTextValue(A14)-DateTextValue(A13)</f>
        <v>7</v>
      </c>
      <c r="D14" s="12" cm="1">
        <f t="array" aca="1" ref="D14" ca="1">DateTextValue(A14)-DateTextValue(A12)</f>
        <v>8</v>
      </c>
      <c r="E14" s="17" cm="1">
        <f t="array" aca="1" ref="E14" ca="1">DateTextValue(A14)-DateTextValue(A12)</f>
        <v>8</v>
      </c>
      <c r="F14" s="9" cm="1">
        <f t="array" aca="1" ref="F14" ca="1">DateTextValue(A14)-DateTextValue(A12)</f>
        <v>8</v>
      </c>
      <c r="G14" s="9" cm="1">
        <f t="array" aca="1" ref="G14" ca="1">DateTextValue(A14)-DateTextValue(A12)</f>
        <v>8</v>
      </c>
      <c r="H14" s="1">
        <v>0.59375</v>
      </c>
      <c r="I14" s="65">
        <v>20</v>
      </c>
      <c r="J14" s="65">
        <v>15</v>
      </c>
      <c r="K14" s="59" t="s">
        <v>7</v>
      </c>
      <c r="L14" s="59" t="s">
        <v>7</v>
      </c>
      <c r="M14">
        <v>35</v>
      </c>
      <c r="N14" t="s">
        <v>19</v>
      </c>
      <c r="O14" t="s">
        <v>946</v>
      </c>
      <c r="P14" s="7" t="s">
        <v>37</v>
      </c>
      <c r="Q14" t="s">
        <v>65</v>
      </c>
      <c r="R14" t="s">
        <v>46</v>
      </c>
      <c r="S14" t="s">
        <v>19</v>
      </c>
      <c r="T14" s="25" t="s">
        <v>962</v>
      </c>
      <c r="U14" t="s">
        <v>23</v>
      </c>
      <c r="V14">
        <v>1</v>
      </c>
      <c r="W14">
        <v>0</v>
      </c>
      <c r="X14">
        <v>0</v>
      </c>
      <c r="Y14">
        <v>6</v>
      </c>
      <c r="Z14">
        <v>3</v>
      </c>
      <c r="AA14">
        <v>0</v>
      </c>
      <c r="AB14" t="s">
        <v>7</v>
      </c>
      <c r="AC14" t="s">
        <v>7</v>
      </c>
      <c r="AD14" t="s">
        <v>70</v>
      </c>
      <c r="AE14" t="s">
        <v>43</v>
      </c>
      <c r="AF14" s="7" t="str">
        <f t="shared" si="0"/>
        <v>N</v>
      </c>
      <c r="AG14">
        <v>0</v>
      </c>
      <c r="AH14">
        <v>16</v>
      </c>
      <c r="AI14">
        <f>AG14-AH14</f>
        <v>-16</v>
      </c>
      <c r="AJ14" t="s">
        <v>47</v>
      </c>
      <c r="AK14" s="50" t="s">
        <v>7</v>
      </c>
      <c r="AL14" s="49" t="s">
        <v>1026</v>
      </c>
      <c r="AM14" s="50" t="s">
        <v>7</v>
      </c>
      <c r="AN14" s="52" t="s">
        <v>1052</v>
      </c>
      <c r="AT14" t="s">
        <v>23</v>
      </c>
      <c r="AU14" t="s">
        <v>23</v>
      </c>
      <c r="AV14" t="s">
        <v>222</v>
      </c>
      <c r="AW14" t="s">
        <v>222</v>
      </c>
      <c r="AX14" t="s">
        <v>222</v>
      </c>
      <c r="AY14" t="s">
        <v>222</v>
      </c>
      <c r="AZ14">
        <v>0</v>
      </c>
      <c r="BA14">
        <v>0</v>
      </c>
      <c r="BB14">
        <v>0</v>
      </c>
      <c r="BC14">
        <v>0</v>
      </c>
      <c r="BD14">
        <v>1</v>
      </c>
      <c r="BE14">
        <v>1</v>
      </c>
      <c r="BF14">
        <v>1</v>
      </c>
      <c r="BG14">
        <v>1</v>
      </c>
      <c r="BH14" s="25">
        <v>13</v>
      </c>
      <c r="BI14" s="25">
        <v>11</v>
      </c>
      <c r="BJ14" s="25">
        <v>9</v>
      </c>
      <c r="BK14" s="25">
        <v>9</v>
      </c>
      <c r="BL14" s="25">
        <v>8</v>
      </c>
      <c r="BM14" s="25">
        <v>3</v>
      </c>
      <c r="BN14" s="27">
        <v>2</v>
      </c>
      <c r="BO14" s="27">
        <v>2</v>
      </c>
      <c r="BP14" s="27">
        <v>2</v>
      </c>
      <c r="BQ14" s="27">
        <v>2</v>
      </c>
    </row>
    <row r="15" spans="1:80" x14ac:dyDescent="0.3">
      <c r="A15" s="6" t="s">
        <v>200</v>
      </c>
      <c r="B15" t="str" cm="1">
        <f t="array" aca="1" ref="B15" ca="1">CHOOSE(IF(MOD(-1*(DateTextValue(A15)-2),7)=0,7,MOD(-1*(DateTextValue(A15)-2),7)),"Sunday","Saturday","Friday","Thursday","Wednesday","Tuesday","Monday")</f>
        <v>Tuesday</v>
      </c>
      <c r="C15" cm="1">
        <f t="array" aca="1" ref="C15" ca="1">DateTextValue(A15)-DateTextValue(A14)</f>
        <v>3</v>
      </c>
      <c r="D15" s="12" cm="1">
        <f t="array" aca="1" ref="D15" ca="1">DateTextValue(A15)-DateTextValue(A14)</f>
        <v>3</v>
      </c>
      <c r="E15" s="17" cm="1">
        <f t="array" aca="1" ref="E15" ca="1">DateTextValue(A15)-DateTextValue(A14)</f>
        <v>3</v>
      </c>
      <c r="F15" s="9" cm="1">
        <f t="array" aca="1" ref="F15" ca="1">DateTextValue(A15)-DateTextValue(A14)</f>
        <v>3</v>
      </c>
      <c r="G15" s="9" cm="1">
        <f t="array" aca="1" ref="G15" ca="1">DateTextValue(A15)-DateTextValue(A14)</f>
        <v>3</v>
      </c>
      <c r="H15" s="1"/>
      <c r="I15" s="58" t="s">
        <v>7</v>
      </c>
      <c r="J15" s="58" t="s">
        <v>7</v>
      </c>
      <c r="K15" s="59" t="s">
        <v>7</v>
      </c>
      <c r="L15" s="59" t="s">
        <v>7</v>
      </c>
      <c r="M15" t="s">
        <v>7</v>
      </c>
      <c r="N15" t="s">
        <v>19</v>
      </c>
      <c r="O15" t="s">
        <v>946</v>
      </c>
      <c r="P15" s="7" t="s">
        <v>37</v>
      </c>
      <c r="Q15" t="s">
        <v>68</v>
      </c>
      <c r="R15" t="s">
        <v>71</v>
      </c>
      <c r="S15" t="s">
        <v>19</v>
      </c>
      <c r="T15" s="38" t="s">
        <v>961</v>
      </c>
      <c r="U15" t="s">
        <v>23</v>
      </c>
      <c r="V15">
        <v>0</v>
      </c>
      <c r="W15">
        <v>0</v>
      </c>
      <c r="X15">
        <v>0</v>
      </c>
      <c r="Y15">
        <v>1</v>
      </c>
      <c r="Z15">
        <v>1</v>
      </c>
      <c r="AA15">
        <v>0</v>
      </c>
      <c r="AB15" t="s">
        <v>7</v>
      </c>
      <c r="AC15" t="s">
        <v>7</v>
      </c>
      <c r="AD15" t="s">
        <v>45</v>
      </c>
      <c r="AE15" t="s">
        <v>43</v>
      </c>
      <c r="AF15" s="7" t="str">
        <f t="shared" si="0"/>
        <v>N</v>
      </c>
      <c r="AG15" t="s">
        <v>7</v>
      </c>
      <c r="AH15" t="s">
        <v>7</v>
      </c>
      <c r="AI15" t="s">
        <v>7</v>
      </c>
      <c r="AJ15" t="s">
        <v>7</v>
      </c>
      <c r="AK15" s="50" t="s">
        <v>7</v>
      </c>
      <c r="AL15" s="49" t="s">
        <v>7</v>
      </c>
      <c r="AM15" s="50" t="s">
        <v>7</v>
      </c>
      <c r="AN15" s="49" t="s">
        <v>7</v>
      </c>
      <c r="AO15" t="s">
        <v>7</v>
      </c>
      <c r="AT15" s="26" t="s">
        <v>28</v>
      </c>
      <c r="AU15" t="s">
        <v>28</v>
      </c>
      <c r="BH15" s="25">
        <v>14</v>
      </c>
      <c r="BM15" s="25">
        <v>4</v>
      </c>
    </row>
    <row r="16" spans="1:80" x14ac:dyDescent="0.3">
      <c r="A16" s="6" t="s">
        <v>67</v>
      </c>
      <c r="B16" t="str" cm="1">
        <f t="array" aca="1" ref="B16" ca="1">CHOOSE(IF(MOD(-1*(DateTextValue(A16)-2),7)=0,7,MOD(-1*(DateTextValue(A16)-2),7)),"Sunday","Saturday","Friday","Thursday","Wednesday","Tuesday","Monday")</f>
        <v>Saturday</v>
      </c>
      <c r="C16" cm="1">
        <f t="array" aca="1" ref="C16" ca="1">DateTextValue(A16)-DateTextValue(A15)</f>
        <v>18</v>
      </c>
      <c r="D16" s="9" cm="1">
        <f t="array" aca="1" ref="D16" ca="1">DateTextValue(A16)-DateTextValue(A14)</f>
        <v>21</v>
      </c>
      <c r="E16" s="17" cm="1">
        <f t="array" aca="1" ref="E16" ca="1">DateTextValue(A16)-DateTextValue(A14)</f>
        <v>21</v>
      </c>
      <c r="F16" s="9" cm="1">
        <f t="array" aca="1" ref="F16" ca="1">DateTextValue(A16)-DateTextValue(A14)</f>
        <v>21</v>
      </c>
      <c r="G16" s="23" cm="1">
        <f t="array" aca="1" ref="G16" ca="1">DateTextValue(A16)-DateTextValue(A14)</f>
        <v>21</v>
      </c>
      <c r="K16" s="59" t="s">
        <v>7</v>
      </c>
      <c r="L16" s="59" t="s">
        <v>7</v>
      </c>
      <c r="N16" t="s">
        <v>19</v>
      </c>
      <c r="O16" t="s">
        <v>946</v>
      </c>
      <c r="P16" s="7" t="s">
        <v>38</v>
      </c>
      <c r="Q16" t="s">
        <v>68</v>
      </c>
      <c r="R16" t="s">
        <v>71</v>
      </c>
      <c r="S16" t="s">
        <v>19</v>
      </c>
      <c r="T16" s="38" t="s">
        <v>961</v>
      </c>
      <c r="U16" t="s">
        <v>23</v>
      </c>
      <c r="V16">
        <v>0</v>
      </c>
      <c r="W16">
        <v>1</v>
      </c>
      <c r="X16">
        <v>0</v>
      </c>
      <c r="Y16">
        <v>1</v>
      </c>
      <c r="Z16">
        <v>1</v>
      </c>
      <c r="AA16">
        <v>0</v>
      </c>
      <c r="AB16" t="s">
        <v>7</v>
      </c>
      <c r="AC16" t="s">
        <v>7</v>
      </c>
      <c r="AD16" t="s">
        <v>69</v>
      </c>
      <c r="AE16" t="s">
        <v>71</v>
      </c>
      <c r="AF16" s="7" t="str">
        <f t="shared" si="0"/>
        <v>N</v>
      </c>
      <c r="AG16">
        <v>0</v>
      </c>
      <c r="AH16">
        <v>6</v>
      </c>
      <c r="AI16">
        <f>AG16-AH16</f>
        <v>-6</v>
      </c>
      <c r="AJ16" t="s">
        <v>47</v>
      </c>
      <c r="AK16" s="50" t="s">
        <v>7</v>
      </c>
      <c r="AL16" s="49" t="s">
        <v>1026</v>
      </c>
      <c r="AM16" s="50" t="s">
        <v>7</v>
      </c>
      <c r="AN16" s="52" t="s">
        <v>1046</v>
      </c>
      <c r="AT16" t="s">
        <v>23</v>
      </c>
      <c r="AU16" t="s">
        <v>23</v>
      </c>
      <c r="AV16" t="s">
        <v>231</v>
      </c>
      <c r="AW16" t="s">
        <v>231</v>
      </c>
      <c r="AX16" t="s">
        <v>231</v>
      </c>
      <c r="AY16" t="s">
        <v>231</v>
      </c>
      <c r="AZ16">
        <v>0</v>
      </c>
      <c r="BA16">
        <v>0</v>
      </c>
      <c r="BB16">
        <v>0</v>
      </c>
      <c r="BC16">
        <v>0</v>
      </c>
      <c r="BD16">
        <v>2</v>
      </c>
      <c r="BE16">
        <v>2</v>
      </c>
      <c r="BF16">
        <v>2</v>
      </c>
      <c r="BG16">
        <v>2</v>
      </c>
      <c r="BH16" s="25">
        <v>15</v>
      </c>
      <c r="BI16" s="25">
        <v>12</v>
      </c>
      <c r="BJ16" s="25">
        <v>10</v>
      </c>
      <c r="BK16" s="25">
        <v>10</v>
      </c>
      <c r="BL16" s="25">
        <v>9</v>
      </c>
      <c r="BM16" s="25">
        <v>5</v>
      </c>
      <c r="BN16" s="27">
        <v>3</v>
      </c>
      <c r="BO16" s="27">
        <v>3</v>
      </c>
      <c r="BP16" s="27">
        <v>3</v>
      </c>
      <c r="BQ16" s="27">
        <v>3</v>
      </c>
    </row>
    <row r="17" spans="1:80" x14ac:dyDescent="0.3">
      <c r="A17" s="6" t="s">
        <v>74</v>
      </c>
      <c r="B17" t="str" cm="1">
        <f t="array" aca="1" ref="B17" ca="1">CHOOSE(IF(MOD(-1*(DateTextValue(A17)-2),7)=0,7,MOD(-1*(DateTextValue(A17)-2),7)),"Sunday","Saturday","Friday","Thursday","Wednesday","Tuesday","Monday")</f>
        <v>Friday</v>
      </c>
      <c r="C17" cm="1">
        <f t="array" aca="1" ref="C17" ca="1">DateTextValue(A17)-DateTextValue(A16)</f>
        <v>6</v>
      </c>
      <c r="D17" s="9" cm="1">
        <f t="array" aca="1" ref="D17" ca="1">DateTextValue(A17)-DateTextValue(A16)</f>
        <v>6</v>
      </c>
      <c r="E17" s="17" cm="1">
        <f t="array" aca="1" ref="E17" ca="1">DateTextValue(A17)-DateTextValue(A16)</f>
        <v>6</v>
      </c>
      <c r="F17" s="9" cm="1">
        <f t="array" aca="1" ref="F17" ca="1">DateTextValue(A17)-DateTextValue(A16)</f>
        <v>6</v>
      </c>
      <c r="G17" s="9" cm="1">
        <f t="array" aca="1" ref="G17" ca="1">DateTextValue(A17)-DateTextValue(A16)</f>
        <v>6</v>
      </c>
      <c r="I17" s="58" t="s">
        <v>7</v>
      </c>
      <c r="J17" s="58" t="s">
        <v>7</v>
      </c>
      <c r="K17" s="59" t="s">
        <v>7</v>
      </c>
      <c r="L17" s="59" t="s">
        <v>7</v>
      </c>
      <c r="M17" t="s">
        <v>7</v>
      </c>
      <c r="N17" t="s">
        <v>19</v>
      </c>
      <c r="O17" t="s">
        <v>946</v>
      </c>
      <c r="P17" s="7" t="s">
        <v>37</v>
      </c>
      <c r="Q17" t="s">
        <v>68</v>
      </c>
      <c r="R17" t="s">
        <v>71</v>
      </c>
      <c r="S17" t="s">
        <v>19</v>
      </c>
      <c r="T17" s="38" t="s">
        <v>961</v>
      </c>
      <c r="U17" t="s">
        <v>23</v>
      </c>
      <c r="V17">
        <v>1</v>
      </c>
      <c r="W17">
        <v>1</v>
      </c>
      <c r="X17">
        <v>0</v>
      </c>
      <c r="Y17">
        <v>1</v>
      </c>
      <c r="Z17">
        <v>1</v>
      </c>
      <c r="AA17">
        <v>0</v>
      </c>
      <c r="AB17" t="s">
        <v>7</v>
      </c>
      <c r="AC17" t="s">
        <v>7</v>
      </c>
      <c r="AD17" t="s">
        <v>70</v>
      </c>
      <c r="AE17" t="s">
        <v>43</v>
      </c>
      <c r="AF17" s="7" t="str">
        <f t="shared" si="0"/>
        <v>N</v>
      </c>
      <c r="AG17" t="s">
        <v>7</v>
      </c>
      <c r="AH17" t="s">
        <v>7</v>
      </c>
      <c r="AI17" t="s">
        <v>7</v>
      </c>
      <c r="AJ17" t="s">
        <v>7</v>
      </c>
      <c r="AK17" s="50" t="s">
        <v>7</v>
      </c>
      <c r="AL17" s="49" t="s">
        <v>7</v>
      </c>
      <c r="AM17" s="50" t="s">
        <v>7</v>
      </c>
      <c r="AN17" s="49" t="s">
        <v>7</v>
      </c>
      <c r="AO17" t="s">
        <v>7</v>
      </c>
      <c r="AS17" t="s">
        <v>75</v>
      </c>
      <c r="AT17" s="26" t="s">
        <v>28</v>
      </c>
      <c r="AU17" t="s">
        <v>28</v>
      </c>
      <c r="BH17" s="25">
        <v>16</v>
      </c>
      <c r="BM17" s="25">
        <v>6</v>
      </c>
    </row>
    <row r="18" spans="1:80" x14ac:dyDescent="0.3">
      <c r="A18" s="6" t="s">
        <v>76</v>
      </c>
      <c r="B18" t="str" cm="1">
        <f t="array" aca="1" ref="B18" ca="1">CHOOSE(IF(MOD(-1*(DateTextValue(A18)-2),7)=0,7,MOD(-1*(DateTextValue(A18)-2),7)),"Sunday","Saturday","Friday","Thursday","Wednesday","Tuesday","Monday")</f>
        <v>Saturday</v>
      </c>
      <c r="C18" cm="1">
        <f t="array" aca="1" ref="C18" ca="1">DateTextValue(A18)-DateTextValue(A17)</f>
        <v>8</v>
      </c>
      <c r="D18" s="9" cm="1">
        <f t="array" aca="1" ref="D18" ca="1">DateTextValue(A18)-DateTextValue(A16)</f>
        <v>14</v>
      </c>
      <c r="E18" s="17" cm="1">
        <f t="array" aca="1" ref="E18" ca="1">DateTextValue(A18)-DateTextValue(A16)</f>
        <v>14</v>
      </c>
      <c r="F18" s="9" cm="1">
        <f t="array" aca="1" ref="F18" ca="1">DateTextValue(A18)-DateTextValue(A16)</f>
        <v>14</v>
      </c>
      <c r="G18" s="9" cm="1">
        <f t="array" aca="1" ref="G18" ca="1">DateTextValue(A18)-DateTextValue(A16)</f>
        <v>14</v>
      </c>
      <c r="H18" s="1">
        <v>0.625</v>
      </c>
      <c r="I18" s="58" t="s">
        <v>7</v>
      </c>
      <c r="J18" s="58" t="s">
        <v>7</v>
      </c>
      <c r="K18" s="59" t="s">
        <v>7</v>
      </c>
      <c r="L18" s="59" t="s">
        <v>7</v>
      </c>
      <c r="M18" t="s">
        <v>7</v>
      </c>
      <c r="N18" t="s">
        <v>19</v>
      </c>
      <c r="O18" t="s">
        <v>946</v>
      </c>
      <c r="P18" s="7" t="s">
        <v>28</v>
      </c>
      <c r="Q18" t="s">
        <v>55</v>
      </c>
      <c r="R18" t="s">
        <v>56</v>
      </c>
      <c r="S18" t="s">
        <v>19</v>
      </c>
      <c r="T18" s="4" t="s">
        <v>959</v>
      </c>
      <c r="U18" t="s">
        <v>33</v>
      </c>
      <c r="V18">
        <v>0</v>
      </c>
      <c r="W18">
        <v>1</v>
      </c>
      <c r="X18">
        <v>0</v>
      </c>
      <c r="Y18">
        <v>0</v>
      </c>
      <c r="Z18">
        <v>1</v>
      </c>
      <c r="AA18">
        <v>0</v>
      </c>
      <c r="AB18" t="s">
        <v>7</v>
      </c>
      <c r="AC18" t="s">
        <v>7</v>
      </c>
      <c r="AD18" t="s">
        <v>57</v>
      </c>
      <c r="AE18" t="s">
        <v>58</v>
      </c>
      <c r="AF18" s="7" t="str">
        <f t="shared" si="0"/>
        <v>N</v>
      </c>
      <c r="AG18" t="s">
        <v>7</v>
      </c>
      <c r="AH18" t="s">
        <v>7</v>
      </c>
      <c r="AI18" t="s">
        <v>7</v>
      </c>
      <c r="AJ18" t="s">
        <v>7</v>
      </c>
      <c r="AK18" s="50" t="s">
        <v>7</v>
      </c>
      <c r="AL18" s="49" t="s">
        <v>7</v>
      </c>
      <c r="AM18" s="50" t="s">
        <v>7</v>
      </c>
      <c r="AN18" s="49" t="s">
        <v>7</v>
      </c>
      <c r="AO18" t="s">
        <v>7</v>
      </c>
      <c r="AS18" t="s">
        <v>77</v>
      </c>
      <c r="AT18" s="26" t="s">
        <v>28</v>
      </c>
      <c r="AU18" t="s">
        <v>28</v>
      </c>
      <c r="BH18" s="25">
        <v>17</v>
      </c>
      <c r="BM18" s="25">
        <v>7</v>
      </c>
    </row>
    <row r="19" spans="1:80" x14ac:dyDescent="0.3">
      <c r="A19" s="6" t="s">
        <v>79</v>
      </c>
      <c r="B19" t="str" cm="1">
        <f t="array" aca="1" ref="B19" ca="1">CHOOSE(IF(MOD(-1*(DateTextValue(A19)-2),7)=0,7,MOD(-1*(DateTextValue(A19)-2),7)),"Sunday","Saturday","Friday","Thursday","Wednesday","Tuesday","Monday")</f>
        <v>Thursday</v>
      </c>
      <c r="C19" cm="1">
        <f t="array" aca="1" ref="C19" ca="1">DateTextValue(A19)-DateTextValue(A18)</f>
        <v>5</v>
      </c>
      <c r="D19" s="12" cm="1">
        <f t="array" aca="1" ref="D19" ca="1">DateTextValue(A19)-DateTextValue(A16)</f>
        <v>19</v>
      </c>
      <c r="E19" s="17" cm="1">
        <f t="array" aca="1" ref="E19" ca="1">DateTextValue(A19)-DateTextValue(A16)</f>
        <v>19</v>
      </c>
      <c r="F19" s="9" cm="1">
        <f t="array" aca="1" ref="F19" ca="1">DateTextValue(A19)-DateTextValue(A16)</f>
        <v>19</v>
      </c>
      <c r="G19" s="9" cm="1">
        <f t="array" aca="1" ref="G19" ca="1">DateTextValue(A19)-DateTextValue(A16)</f>
        <v>19</v>
      </c>
      <c r="H19" s="1">
        <v>0.63541666666666663</v>
      </c>
      <c r="K19" s="59" t="s">
        <v>7</v>
      </c>
      <c r="L19" s="59" t="s">
        <v>7</v>
      </c>
      <c r="N19" t="s">
        <v>19</v>
      </c>
      <c r="O19" t="s">
        <v>946</v>
      </c>
      <c r="P19" s="7" t="s">
        <v>38</v>
      </c>
      <c r="Q19" t="s">
        <v>80</v>
      </c>
      <c r="R19" t="s">
        <v>81</v>
      </c>
      <c r="S19" t="s">
        <v>19</v>
      </c>
      <c r="T19" s="25" t="s">
        <v>963</v>
      </c>
      <c r="U19" t="s">
        <v>82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 t="s">
        <v>7</v>
      </c>
      <c r="AC19" t="s">
        <v>7</v>
      </c>
      <c r="AD19" t="s">
        <v>83</v>
      </c>
      <c r="AE19" t="s">
        <v>81</v>
      </c>
      <c r="AF19" s="7" t="str">
        <f t="shared" si="0"/>
        <v>N</v>
      </c>
      <c r="AG19">
        <v>22</v>
      </c>
      <c r="AH19">
        <v>0</v>
      </c>
      <c r="AI19">
        <f>AG19-AH19</f>
        <v>22</v>
      </c>
      <c r="AJ19" t="s">
        <v>13</v>
      </c>
      <c r="AK19" s="50" t="s">
        <v>7</v>
      </c>
      <c r="AL19" s="49" t="s">
        <v>1013</v>
      </c>
      <c r="AM19" s="50" t="s">
        <v>7</v>
      </c>
      <c r="AN19" s="52" t="s">
        <v>1053</v>
      </c>
      <c r="AO19">
        <f>(1500+3000)/2</f>
        <v>2250</v>
      </c>
      <c r="AP19" s="60">
        <v>1500</v>
      </c>
      <c r="AQ19" s="60">
        <v>3000</v>
      </c>
      <c r="AR19" t="s">
        <v>59</v>
      </c>
      <c r="AT19" t="s">
        <v>23</v>
      </c>
      <c r="AU19" t="s">
        <v>23</v>
      </c>
      <c r="AV19" t="s">
        <v>227</v>
      </c>
      <c r="AW19" t="s">
        <v>227</v>
      </c>
      <c r="AX19" t="s">
        <v>227</v>
      </c>
      <c r="AY19" t="s">
        <v>227</v>
      </c>
      <c r="AZ19">
        <v>0</v>
      </c>
      <c r="BA19">
        <v>0</v>
      </c>
      <c r="BB19">
        <v>0</v>
      </c>
      <c r="BC19">
        <v>0</v>
      </c>
      <c r="BD19">
        <v>3</v>
      </c>
      <c r="BE19">
        <v>3</v>
      </c>
      <c r="BF19">
        <v>3</v>
      </c>
      <c r="BG19">
        <v>3</v>
      </c>
      <c r="BH19" s="25">
        <v>18</v>
      </c>
      <c r="BI19" s="25">
        <v>13</v>
      </c>
      <c r="BJ19" s="25">
        <v>11</v>
      </c>
      <c r="BK19" s="25">
        <v>11</v>
      </c>
      <c r="BL19" s="25">
        <v>10</v>
      </c>
      <c r="BM19" s="25">
        <v>8</v>
      </c>
      <c r="BN19" s="27">
        <v>4</v>
      </c>
      <c r="BO19" s="27">
        <v>4</v>
      </c>
      <c r="BP19" s="27">
        <v>4</v>
      </c>
      <c r="BQ19" s="27">
        <v>4</v>
      </c>
      <c r="BR19" s="27" t="s">
        <v>23</v>
      </c>
      <c r="BS19" s="27" t="s">
        <v>23</v>
      </c>
      <c r="BT19" s="71" t="s">
        <v>23</v>
      </c>
      <c r="BU19" s="27" t="s">
        <v>23</v>
      </c>
      <c r="BV19" s="27"/>
      <c r="BW19" s="27"/>
      <c r="BY19" s="71" t="s">
        <v>23</v>
      </c>
      <c r="BZ19" s="7" t="s">
        <v>23</v>
      </c>
      <c r="CA19" s="7" t="s">
        <v>23</v>
      </c>
      <c r="CB19" s="7" t="s">
        <v>23</v>
      </c>
    </row>
    <row r="20" spans="1:80" x14ac:dyDescent="0.3">
      <c r="A20" s="6" t="s">
        <v>84</v>
      </c>
      <c r="B20" t="str" cm="1">
        <f t="array" aca="1" ref="B20" ca="1">CHOOSE(IF(MOD(-1*(DateTextValue(A20)-2),7)=0,7,MOD(-1*(DateTextValue(A20)-2),7)),"Sunday","Saturday","Friday","Thursday","Wednesday","Tuesday","Monday")</f>
        <v>Saturday</v>
      </c>
      <c r="C20" cm="1">
        <f t="array" aca="1" ref="C20" ca="1">DateTextValue(A20)-DateTextValue(A19)</f>
        <v>317</v>
      </c>
      <c r="D20" s="9" cm="1">
        <f t="array" aca="1" ref="D20" ca="1">DateTextValue(A20)-DateTextValue(A19)</f>
        <v>317</v>
      </c>
      <c r="E20" s="17" cm="1">
        <f t="array" aca="1" ref="E20" ca="1">DateTextValue(A20)-DateTextValue(A19)</f>
        <v>317</v>
      </c>
      <c r="F20" s="9" cm="1">
        <f t="array" aca="1" ref="F20" ca="1">DateTextValue(A20)-DateTextValue(A19)</f>
        <v>317</v>
      </c>
      <c r="G20" s="9" cm="1">
        <f t="array" aca="1" ref="G20" ca="1">DateTextValue(A20)-DateTextValue(A19)</f>
        <v>317</v>
      </c>
      <c r="H20" s="1">
        <v>0.66666666666666663</v>
      </c>
      <c r="K20" s="59" t="s">
        <v>7</v>
      </c>
      <c r="L20" s="59" t="s">
        <v>7</v>
      </c>
      <c r="N20" t="s">
        <v>19</v>
      </c>
      <c r="O20" t="s">
        <v>948</v>
      </c>
      <c r="P20" s="7" t="s">
        <v>38</v>
      </c>
      <c r="Q20" t="s">
        <v>65</v>
      </c>
      <c r="R20" t="s">
        <v>46</v>
      </c>
      <c r="S20" t="s">
        <v>19</v>
      </c>
      <c r="T20" s="25" t="s">
        <v>964</v>
      </c>
      <c r="U20" t="s">
        <v>23</v>
      </c>
      <c r="V20">
        <v>0</v>
      </c>
      <c r="W20">
        <v>0</v>
      </c>
      <c r="X20">
        <v>0</v>
      </c>
      <c r="Y20">
        <v>7</v>
      </c>
      <c r="Z20">
        <v>1</v>
      </c>
      <c r="AA20">
        <v>1</v>
      </c>
      <c r="AB20" t="s">
        <v>7</v>
      </c>
      <c r="AC20" t="s">
        <v>7</v>
      </c>
      <c r="AD20" t="s">
        <v>929</v>
      </c>
      <c r="AE20" t="s">
        <v>46</v>
      </c>
      <c r="AF20" s="7" t="str">
        <f t="shared" si="0"/>
        <v>N</v>
      </c>
      <c r="AG20">
        <v>0</v>
      </c>
      <c r="AH20">
        <v>36</v>
      </c>
      <c r="AI20">
        <f>AG20-AH20</f>
        <v>-36</v>
      </c>
      <c r="AJ20" t="s">
        <v>47</v>
      </c>
      <c r="AK20" s="50" t="s">
        <v>7</v>
      </c>
      <c r="AL20" s="49" t="s">
        <v>1024</v>
      </c>
      <c r="AM20" s="50" t="s">
        <v>7</v>
      </c>
      <c r="AN20" s="52" t="s">
        <v>1054</v>
      </c>
      <c r="AR20" t="s">
        <v>48</v>
      </c>
      <c r="AT20" t="s">
        <v>23</v>
      </c>
      <c r="AU20" t="s">
        <v>23</v>
      </c>
      <c r="AV20" t="s">
        <v>221</v>
      </c>
      <c r="AW20" t="s">
        <v>221</v>
      </c>
      <c r="AX20" t="s">
        <v>221</v>
      </c>
      <c r="AY20" t="s">
        <v>221</v>
      </c>
      <c r="AZ20">
        <v>1</v>
      </c>
      <c r="BA20">
        <v>1</v>
      </c>
      <c r="BB20">
        <v>1</v>
      </c>
      <c r="BC20">
        <v>1</v>
      </c>
      <c r="BD20">
        <v>0</v>
      </c>
      <c r="BE20">
        <v>0</v>
      </c>
      <c r="BF20">
        <v>0</v>
      </c>
      <c r="BG20">
        <v>0</v>
      </c>
      <c r="BH20" s="25">
        <v>19</v>
      </c>
      <c r="BI20" s="25">
        <v>14</v>
      </c>
      <c r="BJ20" s="25">
        <v>12</v>
      </c>
      <c r="BK20" s="25">
        <v>12</v>
      </c>
      <c r="BL20" s="25">
        <v>11</v>
      </c>
      <c r="BM20" s="25">
        <v>1</v>
      </c>
      <c r="BN20" s="27">
        <v>1</v>
      </c>
      <c r="BO20" s="27">
        <v>1</v>
      </c>
      <c r="BP20" s="27">
        <v>1</v>
      </c>
      <c r="BQ20" s="27">
        <v>1</v>
      </c>
    </row>
    <row r="21" spans="1:80" x14ac:dyDescent="0.3">
      <c r="A21" s="6" t="s">
        <v>85</v>
      </c>
      <c r="B21" t="str" cm="1">
        <f t="array" aca="1" ref="B21" ca="1">CHOOSE(IF(MOD(-1*(DateTextValue(A21)-2),7)=0,7,MOD(-1*(DateTextValue(A21)-2),7)),"Sunday","Saturday","Friday","Thursday","Wednesday","Tuesday","Monday")</f>
        <v>Friday</v>
      </c>
      <c r="C21" cm="1">
        <f t="array" aca="1" ref="C21" ca="1">DateTextValue(A21)-DateTextValue(A20)</f>
        <v>6</v>
      </c>
      <c r="D21" s="9" cm="1">
        <f t="array" aca="1" ref="D21" ca="1">DateTextValue(A21)-DateTextValue(A20)</f>
        <v>6</v>
      </c>
      <c r="E21" s="17" cm="1">
        <f t="array" aca="1" ref="E21" ca="1">DateTextValue(A21)-DateTextValue(A20)</f>
        <v>6</v>
      </c>
      <c r="F21" s="9" cm="1">
        <f t="array" aca="1" ref="F21" ca="1">DateTextValue(A21)-DateTextValue(A20)</f>
        <v>6</v>
      </c>
      <c r="G21" s="9" cm="1">
        <f t="array" aca="1" ref="G21" ca="1">DateTextValue(A21)-DateTextValue(A20)</f>
        <v>6</v>
      </c>
      <c r="H21" s="1">
        <v>0.70833333333333337</v>
      </c>
      <c r="I21" s="58">
        <v>20</v>
      </c>
      <c r="J21" s="58">
        <v>20</v>
      </c>
      <c r="K21" s="59" t="s">
        <v>7</v>
      </c>
      <c r="L21" s="59" t="s">
        <v>7</v>
      </c>
      <c r="M21">
        <v>40</v>
      </c>
      <c r="N21" t="s">
        <v>19</v>
      </c>
      <c r="O21" t="s">
        <v>948</v>
      </c>
      <c r="P21" s="7" t="s">
        <v>37</v>
      </c>
      <c r="Q21" t="s">
        <v>86</v>
      </c>
      <c r="R21" t="s">
        <v>87</v>
      </c>
      <c r="S21" t="s">
        <v>19</v>
      </c>
      <c r="T21" t="s">
        <v>965</v>
      </c>
      <c r="U21" t="s">
        <v>23</v>
      </c>
      <c r="V21">
        <v>0</v>
      </c>
      <c r="W21">
        <v>1</v>
      </c>
      <c r="X21">
        <v>0</v>
      </c>
      <c r="Y21">
        <v>0</v>
      </c>
      <c r="Z21">
        <v>5</v>
      </c>
      <c r="AA21">
        <v>1</v>
      </c>
      <c r="AB21" t="s">
        <v>7</v>
      </c>
      <c r="AC21" t="s">
        <v>7</v>
      </c>
      <c r="AD21" t="s">
        <v>70</v>
      </c>
      <c r="AE21" t="s">
        <v>43</v>
      </c>
      <c r="AF21" s="7" t="str">
        <f t="shared" si="0"/>
        <v>N</v>
      </c>
      <c r="AG21">
        <v>6</v>
      </c>
      <c r="AH21">
        <v>0</v>
      </c>
      <c r="AI21">
        <f>AG21-AH21</f>
        <v>6</v>
      </c>
      <c r="AJ21" t="s">
        <v>13</v>
      </c>
      <c r="AK21" s="50" t="s">
        <v>7</v>
      </c>
      <c r="AL21" s="49" t="s">
        <v>253</v>
      </c>
      <c r="AM21" s="50" t="s">
        <v>7</v>
      </c>
      <c r="AN21" s="52" t="s">
        <v>1047</v>
      </c>
      <c r="AS21" t="s">
        <v>88</v>
      </c>
      <c r="AT21" t="s">
        <v>23</v>
      </c>
      <c r="AU21" t="s">
        <v>23</v>
      </c>
      <c r="AV21" t="s">
        <v>222</v>
      </c>
      <c r="AW21" t="s">
        <v>222</v>
      </c>
      <c r="AX21" t="s">
        <v>222</v>
      </c>
      <c r="AY21" t="s">
        <v>222</v>
      </c>
      <c r="AZ21">
        <v>0</v>
      </c>
      <c r="BA21">
        <v>0</v>
      </c>
      <c r="BB21">
        <v>0</v>
      </c>
      <c r="BC21">
        <v>0</v>
      </c>
      <c r="BD21">
        <v>1</v>
      </c>
      <c r="BE21">
        <v>1</v>
      </c>
      <c r="BF21">
        <v>1</v>
      </c>
      <c r="BG21">
        <v>1</v>
      </c>
      <c r="BH21" s="25">
        <v>20</v>
      </c>
      <c r="BI21" s="25">
        <v>15</v>
      </c>
      <c r="BJ21" s="25">
        <v>13</v>
      </c>
      <c r="BK21" s="25">
        <v>13</v>
      </c>
      <c r="BL21" s="25">
        <v>12</v>
      </c>
      <c r="BM21" s="25">
        <v>2</v>
      </c>
      <c r="BN21" s="27">
        <v>2</v>
      </c>
      <c r="BO21" s="27">
        <v>2</v>
      </c>
      <c r="BP21" s="27">
        <v>2</v>
      </c>
      <c r="BQ21" s="27">
        <v>2</v>
      </c>
    </row>
    <row r="22" spans="1:80" x14ac:dyDescent="0.3">
      <c r="A22" s="6" t="s">
        <v>90</v>
      </c>
      <c r="B22" t="str" cm="1">
        <f t="array" aca="1" ref="B22" ca="1">CHOOSE(IF(MOD(-1*(DateTextValue(A22)-2),7)=0,7,MOD(-1*(DateTextValue(A22)-2),7)),"Sunday","Saturday","Friday","Thursday","Wednesday","Tuesday","Monday")</f>
        <v>Saturday</v>
      </c>
      <c r="C22" cm="1">
        <f t="array" aca="1" ref="C22" ca="1">DateTextValue(A22)-DateTextValue(A21)</f>
        <v>1</v>
      </c>
      <c r="D22" s="9" cm="1">
        <f t="array" aca="1" ref="D22" ca="1">DateTextValue(A22)-DateTextValue(A21)</f>
        <v>1</v>
      </c>
      <c r="E22" s="17" cm="1">
        <f t="array" aca="1" ref="E22" ca="1">DateTextValue(A22)-DateTextValue(A21)</f>
        <v>1</v>
      </c>
      <c r="F22" s="9" cm="1">
        <f t="array" aca="1" ref="F22" ca="1">DateTextValue(A22)-DateTextValue(A21)</f>
        <v>1</v>
      </c>
      <c r="G22" s="9" cm="1">
        <f t="array" aca="1" ref="G22" ca="1">DateTextValue(A22)-DateTextValue(A21)</f>
        <v>1</v>
      </c>
      <c r="I22" s="58">
        <v>35</v>
      </c>
      <c r="J22" s="58">
        <v>35</v>
      </c>
      <c r="K22" s="59" t="s">
        <v>7</v>
      </c>
      <c r="L22" s="59" t="s">
        <v>7</v>
      </c>
      <c r="M22">
        <v>70</v>
      </c>
      <c r="N22" t="s">
        <v>19</v>
      </c>
      <c r="O22" t="s">
        <v>948</v>
      </c>
      <c r="P22" s="7" t="s">
        <v>37</v>
      </c>
      <c r="Q22" t="s">
        <v>32</v>
      </c>
      <c r="R22" t="s">
        <v>44</v>
      </c>
      <c r="S22" t="s">
        <v>19</v>
      </c>
      <c r="T22" s="38" t="s">
        <v>961</v>
      </c>
      <c r="U22" t="s">
        <v>23</v>
      </c>
      <c r="V22">
        <v>0</v>
      </c>
      <c r="W22">
        <v>0</v>
      </c>
      <c r="X22">
        <v>0</v>
      </c>
      <c r="Y22">
        <v>0</v>
      </c>
      <c r="Z22">
        <v>0</v>
      </c>
      <c r="AA22">
        <v>1</v>
      </c>
      <c r="AB22" t="s">
        <v>7</v>
      </c>
      <c r="AC22" t="s">
        <v>7</v>
      </c>
      <c r="AD22" t="s">
        <v>70</v>
      </c>
      <c r="AE22" t="s">
        <v>43</v>
      </c>
      <c r="AF22" s="7" t="str">
        <f t="shared" si="0"/>
        <v>N</v>
      </c>
      <c r="AG22">
        <v>4</v>
      </c>
      <c r="AH22">
        <v>4</v>
      </c>
      <c r="AI22">
        <v>0</v>
      </c>
      <c r="AJ22" t="s">
        <v>91</v>
      </c>
      <c r="AK22" s="50" t="s">
        <v>7</v>
      </c>
      <c r="AL22" s="49" t="s">
        <v>864</v>
      </c>
      <c r="AM22" s="50" t="s">
        <v>7</v>
      </c>
      <c r="AN22" s="51" t="s">
        <v>959</v>
      </c>
      <c r="AT22" t="s">
        <v>23</v>
      </c>
      <c r="AU22" t="s">
        <v>23</v>
      </c>
      <c r="AV22" t="s">
        <v>221</v>
      </c>
      <c r="AW22" t="s">
        <v>221</v>
      </c>
      <c r="AX22" t="s">
        <v>221</v>
      </c>
      <c r="AY22" t="s">
        <v>221</v>
      </c>
      <c r="AZ22">
        <v>1</v>
      </c>
      <c r="BA22">
        <v>1</v>
      </c>
      <c r="BB22">
        <v>1</v>
      </c>
      <c r="BC22">
        <v>1</v>
      </c>
      <c r="BD22">
        <v>0</v>
      </c>
      <c r="BE22">
        <v>0</v>
      </c>
      <c r="BF22">
        <v>0</v>
      </c>
      <c r="BG22">
        <v>0</v>
      </c>
      <c r="BH22" s="25">
        <v>21</v>
      </c>
      <c r="BI22" s="25">
        <v>16</v>
      </c>
      <c r="BJ22" s="25">
        <v>14</v>
      </c>
      <c r="BK22" s="25">
        <v>14</v>
      </c>
      <c r="BL22" s="25">
        <v>13</v>
      </c>
      <c r="BM22" s="25">
        <v>3</v>
      </c>
      <c r="BN22" s="27">
        <v>3</v>
      </c>
      <c r="BO22" s="27">
        <v>3</v>
      </c>
      <c r="BP22" s="27">
        <v>3</v>
      </c>
      <c r="BQ22" s="27">
        <v>6</v>
      </c>
    </row>
    <row r="23" spans="1:80" x14ac:dyDescent="0.3">
      <c r="A23" s="6" t="s">
        <v>92</v>
      </c>
      <c r="B23" t="str" cm="1">
        <f t="array" aca="1" ref="B23" ca="1">CHOOSE(IF(MOD(-1*(DateTextValue(A23)-2),7)=0,7,MOD(-1*(DateTextValue(A23)-2),7)),"Sunday","Saturday","Friday","Thursday","Wednesday","Tuesday","Monday")</f>
        <v>Friday</v>
      </c>
      <c r="C23" cm="1">
        <f t="array" aca="1" ref="C23" ca="1">DateTextValue(A23)-DateTextValue(A22)</f>
        <v>6</v>
      </c>
      <c r="D23" s="9" cm="1">
        <f t="array" aca="1" ref="D23" ca="1">DateTextValue(A23)-DateTextValue(A22)</f>
        <v>6</v>
      </c>
      <c r="E23" s="17" cm="1">
        <f t="array" aca="1" ref="E23" ca="1">DateTextValue(A23)-DateTextValue(A22)</f>
        <v>6</v>
      </c>
      <c r="F23" s="9" cm="1">
        <f t="array" aca="1" ref="F23" ca="1">DateTextValue(A23)-DateTextValue(A22)</f>
        <v>6</v>
      </c>
      <c r="G23" s="9" cm="1">
        <f t="array" aca="1" ref="G23" ca="1">DateTextValue(A23)-DateTextValue(A22)</f>
        <v>6</v>
      </c>
      <c r="H23" s="1">
        <v>0.64583333333333337</v>
      </c>
      <c r="I23" s="58">
        <v>25</v>
      </c>
      <c r="J23" s="58">
        <v>25</v>
      </c>
      <c r="K23" s="59" t="s">
        <v>7</v>
      </c>
      <c r="L23" s="59" t="s">
        <v>7</v>
      </c>
      <c r="M23">
        <v>50</v>
      </c>
      <c r="N23" t="s">
        <v>19</v>
      </c>
      <c r="O23" t="s">
        <v>948</v>
      </c>
      <c r="P23" s="7" t="s">
        <v>28</v>
      </c>
      <c r="Q23" t="s">
        <v>93</v>
      </c>
      <c r="R23" t="s">
        <v>94</v>
      </c>
      <c r="S23" t="s">
        <v>19</v>
      </c>
      <c r="T23" t="s">
        <v>966</v>
      </c>
      <c r="U23" t="s">
        <v>23</v>
      </c>
      <c r="V23">
        <v>1</v>
      </c>
      <c r="W23">
        <v>0</v>
      </c>
      <c r="X23">
        <v>0</v>
      </c>
      <c r="Y23">
        <v>5</v>
      </c>
      <c r="Z23">
        <v>1</v>
      </c>
      <c r="AA23">
        <v>0</v>
      </c>
      <c r="AB23" t="s">
        <v>7</v>
      </c>
      <c r="AC23" t="s">
        <v>7</v>
      </c>
      <c r="AD23" t="s">
        <v>95</v>
      </c>
      <c r="AE23" t="s">
        <v>96</v>
      </c>
      <c r="AF23" s="7" t="str">
        <f t="shared" si="0"/>
        <v>N</v>
      </c>
      <c r="AG23">
        <v>6</v>
      </c>
      <c r="AH23">
        <v>42</v>
      </c>
      <c r="AI23">
        <f>AG23-AH23</f>
        <v>-36</v>
      </c>
      <c r="AJ23" t="s">
        <v>47</v>
      </c>
      <c r="AK23" s="50" t="s">
        <v>7</v>
      </c>
      <c r="AL23" s="49" t="s">
        <v>1028</v>
      </c>
      <c r="AM23" s="50" t="s">
        <v>7</v>
      </c>
      <c r="AN23" s="52" t="s">
        <v>1055</v>
      </c>
      <c r="AR23" t="s">
        <v>97</v>
      </c>
      <c r="AT23" t="s">
        <v>23</v>
      </c>
      <c r="AU23" t="s">
        <v>23</v>
      </c>
      <c r="AV23" t="s">
        <v>237</v>
      </c>
      <c r="AW23" t="s">
        <v>237</v>
      </c>
      <c r="AX23" t="s">
        <v>237</v>
      </c>
      <c r="AY23" t="s">
        <v>237</v>
      </c>
      <c r="AZ23">
        <v>2</v>
      </c>
      <c r="BA23">
        <v>2</v>
      </c>
      <c r="BB23">
        <v>2</v>
      </c>
      <c r="BC23">
        <v>2</v>
      </c>
      <c r="BD23">
        <v>1</v>
      </c>
      <c r="BE23">
        <v>1</v>
      </c>
      <c r="BF23">
        <v>1</v>
      </c>
      <c r="BG23">
        <v>1</v>
      </c>
      <c r="BH23" s="25">
        <v>22</v>
      </c>
      <c r="BI23" s="25">
        <v>17</v>
      </c>
      <c r="BJ23" s="25">
        <v>15</v>
      </c>
      <c r="BK23" s="25">
        <v>15</v>
      </c>
      <c r="BL23" s="25">
        <v>14</v>
      </c>
      <c r="BM23" s="25">
        <v>4</v>
      </c>
      <c r="BN23" s="27">
        <v>4</v>
      </c>
      <c r="BO23" s="27">
        <v>4</v>
      </c>
      <c r="BP23" s="27">
        <v>4</v>
      </c>
      <c r="BQ23" s="27">
        <v>4</v>
      </c>
    </row>
    <row r="24" spans="1:80" x14ac:dyDescent="0.3">
      <c r="A24" s="6" t="s">
        <v>98</v>
      </c>
      <c r="B24" t="str" cm="1">
        <f t="array" aca="1" ref="B24" ca="1">CHOOSE(IF(MOD(-1*(DateTextValue(A24)-2),7)=0,7,MOD(-1*(DateTextValue(A24)-2),7)),"Sunday","Saturday","Friday","Thursday","Wednesday","Tuesday","Monday")</f>
        <v>Saturday</v>
      </c>
      <c r="C24" cm="1">
        <f t="array" aca="1" ref="C24" ca="1">DateTextValue(A24)-DateTextValue(A23)</f>
        <v>1</v>
      </c>
      <c r="D24" s="9" cm="1">
        <f t="array" aca="1" ref="D24" ca="1">DateTextValue(A24)-DateTextValue(A23)</f>
        <v>1</v>
      </c>
      <c r="E24" s="17" cm="1">
        <f t="array" aca="1" ref="E24" ca="1">DateTextValue(A24)-DateTextValue(A23)</f>
        <v>1</v>
      </c>
      <c r="F24" s="9" cm="1">
        <f t="array" aca="1" ref="F24" ca="1">DateTextValue(A24)-DateTextValue(A23)</f>
        <v>1</v>
      </c>
      <c r="G24" s="9" cm="1">
        <f t="array" aca="1" ref="G24" ca="1">DateTextValue(A24)-DateTextValue(A23)</f>
        <v>1</v>
      </c>
      <c r="K24" s="59" t="s">
        <v>7</v>
      </c>
      <c r="L24" s="59" t="s">
        <v>7</v>
      </c>
      <c r="N24" t="s">
        <v>19</v>
      </c>
      <c r="O24" t="s">
        <v>948</v>
      </c>
      <c r="P24" s="7" t="s">
        <v>38</v>
      </c>
      <c r="Q24" t="s">
        <v>99</v>
      </c>
      <c r="R24" t="s">
        <v>100</v>
      </c>
      <c r="S24" t="s">
        <v>19</v>
      </c>
      <c r="T24" t="s">
        <v>967</v>
      </c>
      <c r="U24" t="s">
        <v>82</v>
      </c>
      <c r="V24">
        <v>0</v>
      </c>
      <c r="W24">
        <v>0</v>
      </c>
      <c r="X24">
        <v>0</v>
      </c>
      <c r="Y24">
        <v>0</v>
      </c>
      <c r="Z24">
        <v>1</v>
      </c>
      <c r="AA24">
        <v>1</v>
      </c>
      <c r="AB24" t="s">
        <v>7</v>
      </c>
      <c r="AC24" t="s">
        <v>7</v>
      </c>
      <c r="AD24" t="s">
        <v>101</v>
      </c>
      <c r="AE24" t="s">
        <v>100</v>
      </c>
      <c r="AF24" s="7" t="str">
        <f t="shared" si="0"/>
        <v>N</v>
      </c>
      <c r="AG24">
        <v>0</v>
      </c>
      <c r="AH24">
        <v>0</v>
      </c>
      <c r="AI24">
        <f>AG24-AH24</f>
        <v>0</v>
      </c>
      <c r="AJ24" t="s">
        <v>91</v>
      </c>
      <c r="AK24" s="50" t="s">
        <v>7</v>
      </c>
      <c r="AL24" s="49" t="s">
        <v>253</v>
      </c>
      <c r="AM24" s="50" t="s">
        <v>7</v>
      </c>
      <c r="AN24" s="52" t="s">
        <v>1034</v>
      </c>
      <c r="AT24" t="s">
        <v>23</v>
      </c>
      <c r="AU24" t="s">
        <v>23</v>
      </c>
      <c r="AV24" t="s">
        <v>222</v>
      </c>
      <c r="AW24" t="s">
        <v>222</v>
      </c>
      <c r="AX24" t="s">
        <v>222</v>
      </c>
      <c r="AY24" t="s">
        <v>222</v>
      </c>
      <c r="AZ24">
        <v>0</v>
      </c>
      <c r="BA24">
        <v>0</v>
      </c>
      <c r="BB24">
        <v>0</v>
      </c>
      <c r="BC24">
        <v>0</v>
      </c>
      <c r="BD24">
        <v>2</v>
      </c>
      <c r="BE24">
        <v>2</v>
      </c>
      <c r="BF24">
        <v>2</v>
      </c>
      <c r="BG24">
        <v>2</v>
      </c>
      <c r="BH24" s="25">
        <v>23</v>
      </c>
      <c r="BI24" s="25">
        <v>18</v>
      </c>
      <c r="BJ24" s="25">
        <v>16</v>
      </c>
      <c r="BK24" s="25">
        <v>16</v>
      </c>
      <c r="BL24" s="25">
        <v>15</v>
      </c>
      <c r="BM24" s="25">
        <v>5</v>
      </c>
      <c r="BN24" s="27">
        <v>5</v>
      </c>
      <c r="BO24" s="27">
        <v>5</v>
      </c>
      <c r="BP24" s="27">
        <v>5</v>
      </c>
      <c r="BQ24" s="27">
        <v>5</v>
      </c>
    </row>
    <row r="25" spans="1:80" x14ac:dyDescent="0.3">
      <c r="A25" s="6" t="s">
        <v>102</v>
      </c>
      <c r="B25" t="str" cm="1">
        <f t="array" aca="1" ref="B25" ca="1">CHOOSE(IF(MOD(-1*(DateTextValue(A25)-2),7)=0,7,MOD(-1*(DateTextValue(A25)-2),7)),"Sunday","Saturday","Friday","Thursday","Wednesday","Tuesday","Monday")</f>
        <v>Thursday</v>
      </c>
      <c r="C25" cm="1">
        <f t="array" aca="1" ref="C25" ca="1">DateTextValue(A25)-DateTextValue(A24)</f>
        <v>33</v>
      </c>
      <c r="D25" s="9" cm="1">
        <f t="array" aca="1" ref="D25" ca="1">DateTextValue(A25)-DateTextValue(A24)</f>
        <v>33</v>
      </c>
      <c r="E25" s="17" cm="1">
        <f t="array" aca="1" ref="E25" ca="1">DateTextValue(A25)-DateTextValue(A24)</f>
        <v>33</v>
      </c>
      <c r="F25" s="9" cm="1">
        <f t="array" aca="1" ref="F25" ca="1">DateTextValue(A25)-DateTextValue(A24)</f>
        <v>33</v>
      </c>
      <c r="G25" s="9" cm="1">
        <f t="array" aca="1" ref="G25" ca="1">DateTextValue(A25)-DateTextValue(A24)</f>
        <v>33</v>
      </c>
      <c r="H25" s="1">
        <v>0.64583333333333337</v>
      </c>
      <c r="K25" s="59" t="s">
        <v>7</v>
      </c>
      <c r="L25" s="59" t="s">
        <v>7</v>
      </c>
      <c r="N25" t="s">
        <v>19</v>
      </c>
      <c r="O25" t="s">
        <v>948</v>
      </c>
      <c r="P25" s="7" t="s">
        <v>38</v>
      </c>
      <c r="Q25" t="s">
        <v>103</v>
      </c>
      <c r="R25" t="s">
        <v>58</v>
      </c>
      <c r="S25" t="s">
        <v>19</v>
      </c>
      <c r="T25" t="s">
        <v>968</v>
      </c>
      <c r="U25" t="s">
        <v>23</v>
      </c>
      <c r="V25">
        <v>1</v>
      </c>
      <c r="W25">
        <v>0</v>
      </c>
      <c r="X25">
        <v>0</v>
      </c>
      <c r="Y25">
        <v>1</v>
      </c>
      <c r="Z25">
        <v>1</v>
      </c>
      <c r="AA25">
        <v>0</v>
      </c>
      <c r="AB25" t="s">
        <v>7</v>
      </c>
      <c r="AC25" t="s">
        <v>7</v>
      </c>
      <c r="AD25" t="s">
        <v>57</v>
      </c>
      <c r="AE25" t="s">
        <v>58</v>
      </c>
      <c r="AF25" s="7" t="str">
        <f t="shared" si="0"/>
        <v>N</v>
      </c>
      <c r="AG25">
        <v>26</v>
      </c>
      <c r="AH25">
        <v>0</v>
      </c>
      <c r="AI25">
        <f>AG25-AH25</f>
        <v>26</v>
      </c>
      <c r="AJ25" t="s">
        <v>13</v>
      </c>
      <c r="AK25" s="50" t="s">
        <v>7</v>
      </c>
      <c r="AL25" s="51" t="s">
        <v>959</v>
      </c>
      <c r="AM25" s="50" t="s">
        <v>7</v>
      </c>
      <c r="AN25" s="51" t="s">
        <v>1059</v>
      </c>
      <c r="AR25" t="s">
        <v>59</v>
      </c>
      <c r="AT25" t="s">
        <v>23</v>
      </c>
      <c r="AU25" t="s">
        <v>23</v>
      </c>
      <c r="AV25" t="s">
        <v>237</v>
      </c>
      <c r="AW25" t="s">
        <v>237</v>
      </c>
      <c r="AX25" t="s">
        <v>237</v>
      </c>
      <c r="AY25" t="s">
        <v>237</v>
      </c>
      <c r="AZ25">
        <v>1</v>
      </c>
      <c r="BA25">
        <v>1</v>
      </c>
      <c r="BB25">
        <v>1</v>
      </c>
      <c r="BC25">
        <v>1</v>
      </c>
      <c r="BD25">
        <v>3</v>
      </c>
      <c r="BE25">
        <v>3</v>
      </c>
      <c r="BF25">
        <v>3</v>
      </c>
      <c r="BG25">
        <v>3</v>
      </c>
      <c r="BH25" s="25">
        <v>24</v>
      </c>
      <c r="BI25" s="25">
        <v>19</v>
      </c>
      <c r="BJ25" s="25">
        <v>17</v>
      </c>
      <c r="BK25" s="25">
        <v>17</v>
      </c>
      <c r="BL25" s="25">
        <v>16</v>
      </c>
      <c r="BM25" s="25">
        <v>6</v>
      </c>
      <c r="BN25" s="27">
        <v>6</v>
      </c>
      <c r="BO25" s="27">
        <v>6</v>
      </c>
      <c r="BP25" s="27">
        <v>6</v>
      </c>
      <c r="BQ25" s="27">
        <v>6</v>
      </c>
      <c r="BR25" s="27" t="s">
        <v>23</v>
      </c>
      <c r="BS25" s="27" t="s">
        <v>23</v>
      </c>
      <c r="BT25" s="71" t="s">
        <v>23</v>
      </c>
      <c r="BU25" s="27" t="s">
        <v>23</v>
      </c>
      <c r="BV25" s="27"/>
      <c r="BW25" s="27"/>
      <c r="BY25" s="71" t="s">
        <v>23</v>
      </c>
      <c r="BZ25" s="7" t="s">
        <v>23</v>
      </c>
      <c r="CA25" s="7" t="s">
        <v>23</v>
      </c>
      <c r="CB25" s="7" t="s">
        <v>23</v>
      </c>
    </row>
    <row r="26" spans="1:80" x14ac:dyDescent="0.3">
      <c r="A26" s="18" t="s">
        <v>104</v>
      </c>
      <c r="B26" s="38" t="s">
        <v>1229</v>
      </c>
      <c r="C26" cm="1">
        <f t="array" aca="1" ref="C26" ca="1">DateTextValue(A26)-DateTextValue(A25)</f>
        <v>399</v>
      </c>
      <c r="D26" s="19" cm="1">
        <f t="array" aca="1" ref="D26" ca="1">DateTextValue(A26)-DateTextValue(A25)</f>
        <v>399</v>
      </c>
      <c r="E26" s="17" cm="1">
        <f t="array" aca="1" ref="E26" ca="1">DateTextValue(A26)-DateTextValue(A25)</f>
        <v>399</v>
      </c>
      <c r="F26" s="9" cm="1">
        <f t="array" aca="1" ref="F26" ca="1">DateTextValue(A26)-DateTextValue(A25)</f>
        <v>399</v>
      </c>
      <c r="G26" s="9" cm="1">
        <f t="array" aca="1" ref="G26" ca="1">DateTextValue(A26)-DateTextValue(A25)</f>
        <v>399</v>
      </c>
      <c r="K26" s="59" t="s">
        <v>7</v>
      </c>
      <c r="L26" s="59" t="s">
        <v>7</v>
      </c>
      <c r="N26" t="s">
        <v>19</v>
      </c>
      <c r="O26" t="s">
        <v>946</v>
      </c>
      <c r="P26" s="7" t="s">
        <v>37</v>
      </c>
      <c r="Q26" t="s">
        <v>103</v>
      </c>
      <c r="R26" t="s">
        <v>58</v>
      </c>
      <c r="S26" t="s">
        <v>19</v>
      </c>
      <c r="T26" t="s">
        <v>969</v>
      </c>
      <c r="U26" t="s">
        <v>23</v>
      </c>
      <c r="V26">
        <v>2</v>
      </c>
      <c r="W26">
        <v>2</v>
      </c>
      <c r="X26">
        <v>1</v>
      </c>
      <c r="Y26">
        <v>2</v>
      </c>
      <c r="Z26">
        <v>3</v>
      </c>
      <c r="AA26">
        <v>1</v>
      </c>
      <c r="AB26" t="s">
        <v>7</v>
      </c>
      <c r="AC26" t="s">
        <v>7</v>
      </c>
      <c r="AF26" s="7" t="str">
        <f t="shared" si="0"/>
        <v>N</v>
      </c>
      <c r="AG26">
        <v>6</v>
      </c>
      <c r="AH26">
        <v>0</v>
      </c>
      <c r="AI26">
        <f>AG26-AH26</f>
        <v>6</v>
      </c>
      <c r="AJ26" t="s">
        <v>13</v>
      </c>
      <c r="AK26" s="50" t="s">
        <v>7</v>
      </c>
      <c r="AL26" s="51" t="s">
        <v>959</v>
      </c>
      <c r="AM26" s="50" t="s">
        <v>7</v>
      </c>
      <c r="AN26" s="52" t="s">
        <v>1047</v>
      </c>
      <c r="AS26" s="67" t="s">
        <v>30</v>
      </c>
      <c r="AT26" s="22" t="s">
        <v>196</v>
      </c>
      <c r="AU26" t="s">
        <v>23</v>
      </c>
      <c r="AV26" t="s">
        <v>221</v>
      </c>
      <c r="AW26" t="s">
        <v>221</v>
      </c>
      <c r="AX26" t="s">
        <v>249</v>
      </c>
      <c r="AY26" t="s">
        <v>249</v>
      </c>
      <c r="AZ26">
        <v>2</v>
      </c>
      <c r="BA26">
        <v>2</v>
      </c>
      <c r="BB26" t="s">
        <v>249</v>
      </c>
      <c r="BC26" t="s">
        <v>249</v>
      </c>
      <c r="BD26">
        <v>0</v>
      </c>
      <c r="BE26">
        <v>0</v>
      </c>
      <c r="BF26" t="s">
        <v>249</v>
      </c>
      <c r="BG26" t="s">
        <v>249</v>
      </c>
      <c r="BH26" s="25">
        <v>25</v>
      </c>
      <c r="BI26" s="25">
        <v>20</v>
      </c>
      <c r="BJ26" s="25">
        <v>18</v>
      </c>
      <c r="BM26" s="25">
        <v>1</v>
      </c>
      <c r="BN26" s="27">
        <v>1</v>
      </c>
      <c r="BO26" s="27">
        <v>7</v>
      </c>
      <c r="BR26" s="27" t="s">
        <v>23</v>
      </c>
      <c r="BS26" s="27" t="s">
        <v>23</v>
      </c>
      <c r="BY26" s="71" t="s">
        <v>23</v>
      </c>
      <c r="BZ26" s="7" t="s">
        <v>23</v>
      </c>
    </row>
    <row r="27" spans="1:80" x14ac:dyDescent="0.3">
      <c r="A27" s="6" t="s">
        <v>105</v>
      </c>
      <c r="B27" t="str" cm="1">
        <f t="array" aca="1" ref="B27" ca="1">CHOOSE(IF(MOD(-1*(DateTextValue(A27)-2),7)=0,7,MOD(-1*(DateTextValue(A27)-2),7)),"Sunday","Saturday","Friday","Thursday","Wednesday","Tuesday","Monday")</f>
        <v>Saturday</v>
      </c>
      <c r="C27" cm="1">
        <f t="array" aca="1" ref="C27" ca="1">DateTextValue(A27)-DateTextValue(A26)</f>
        <v>268</v>
      </c>
      <c r="D27" s="11" cm="1">
        <f t="array" aca="1" ref="D27" ca="1">DateTextValue(A27)-DateTextValue(A26)</f>
        <v>268</v>
      </c>
      <c r="E27" s="17" cm="1">
        <f t="array" aca="1" ref="E27" ca="1">DateTextValue(A27)-DateTextValue(A26)</f>
        <v>268</v>
      </c>
      <c r="F27" s="20" cm="1">
        <f t="array" aca="1" ref="F27" ca="1">DateTextValue(A27)-DateTextValue(A25)</f>
        <v>667</v>
      </c>
      <c r="G27" s="20" cm="1">
        <f t="array" aca="1" ref="G27" ca="1">DateTextValue(A27)-DateTextValue(A25)</f>
        <v>667</v>
      </c>
      <c r="H27" s="1"/>
      <c r="I27" s="58" t="s">
        <v>7</v>
      </c>
      <c r="J27" s="58" t="s">
        <v>7</v>
      </c>
      <c r="K27" s="59" t="s">
        <v>7</v>
      </c>
      <c r="L27" s="59" t="s">
        <v>7</v>
      </c>
      <c r="M27" t="s">
        <v>7</v>
      </c>
      <c r="N27" t="s">
        <v>19</v>
      </c>
      <c r="O27" t="s">
        <v>949</v>
      </c>
      <c r="P27" s="7" t="s">
        <v>37</v>
      </c>
      <c r="Q27" t="s">
        <v>103</v>
      </c>
      <c r="R27" t="s">
        <v>58</v>
      </c>
      <c r="S27" t="s">
        <v>19</v>
      </c>
      <c r="T27" t="s">
        <v>951</v>
      </c>
      <c r="U27" t="s">
        <v>23</v>
      </c>
      <c r="V27">
        <v>0</v>
      </c>
      <c r="W27">
        <v>0</v>
      </c>
      <c r="X27">
        <v>0</v>
      </c>
      <c r="Y27">
        <v>2</v>
      </c>
      <c r="Z27">
        <v>1</v>
      </c>
      <c r="AA27">
        <v>0</v>
      </c>
      <c r="AB27" t="s">
        <v>7</v>
      </c>
      <c r="AC27" t="s">
        <v>7</v>
      </c>
      <c r="AD27" t="s">
        <v>70</v>
      </c>
      <c r="AE27" t="s">
        <v>43</v>
      </c>
      <c r="AF27" s="7" t="str">
        <f t="shared" si="0"/>
        <v>N</v>
      </c>
      <c r="AG27" t="s">
        <v>7</v>
      </c>
      <c r="AH27" t="s">
        <v>7</v>
      </c>
      <c r="AI27" t="s">
        <v>7</v>
      </c>
      <c r="AJ27" t="s">
        <v>7</v>
      </c>
      <c r="AK27" s="50" t="s">
        <v>7</v>
      </c>
      <c r="AL27" s="49" t="s">
        <v>7</v>
      </c>
      <c r="AM27" s="50" t="s">
        <v>7</v>
      </c>
      <c r="AN27" s="49" t="s">
        <v>7</v>
      </c>
      <c r="AO27" t="s">
        <v>7</v>
      </c>
      <c r="AS27" t="s">
        <v>106</v>
      </c>
      <c r="AT27" s="26" t="s">
        <v>28</v>
      </c>
      <c r="AU27" t="s">
        <v>28</v>
      </c>
      <c r="BH27" s="25">
        <v>26</v>
      </c>
      <c r="BM27" s="25">
        <v>1</v>
      </c>
    </row>
    <row r="28" spans="1:80" x14ac:dyDescent="0.3">
      <c r="A28" s="6" t="s">
        <v>107</v>
      </c>
      <c r="B28" t="str" cm="1">
        <f t="array" aca="1" ref="B28" ca="1">CHOOSE(IF(MOD(-1*(DateTextValue(A28)-2),7)=0,7,MOD(-1*(DateTextValue(A28)-2),7)),"Sunday","Saturday","Friday","Thursday","Wednesday","Tuesday","Monday")</f>
        <v>Saturday</v>
      </c>
      <c r="C28" cm="1">
        <f t="array" aca="1" ref="C28" ca="1">DateTextValue(A28)-DateTextValue(A27)</f>
        <v>7</v>
      </c>
      <c r="D28" s="15" cm="1">
        <f t="array" aca="1" ref="D28" ca="1">DateTextValue(A28)-DateTextValue(A26)</f>
        <v>275</v>
      </c>
      <c r="E28" s="17" cm="1">
        <f t="array" aca="1" ref="E28" ca="1">DateTextValue(A28)-DateTextValue(A26)</f>
        <v>275</v>
      </c>
      <c r="F28" s="20" cm="1">
        <f t="array" aca="1" ref="F28" ca="1">DateTextValue(A28)-DateTextValue(A25)</f>
        <v>674</v>
      </c>
      <c r="G28" s="20" cm="1">
        <f t="array" aca="1" ref="G28" ca="1">DateTextValue(A28)-DateTextValue(A25)</f>
        <v>674</v>
      </c>
      <c r="H28" s="1">
        <v>0.66666666666666663</v>
      </c>
      <c r="I28" s="65">
        <v>20</v>
      </c>
      <c r="J28" s="65">
        <v>15</v>
      </c>
      <c r="K28" s="59" t="s">
        <v>7</v>
      </c>
      <c r="L28" s="59" t="s">
        <v>7</v>
      </c>
      <c r="M28">
        <v>35</v>
      </c>
      <c r="N28" t="s">
        <v>19</v>
      </c>
      <c r="O28" t="s">
        <v>949</v>
      </c>
      <c r="P28" s="7" t="s">
        <v>38</v>
      </c>
      <c r="Q28" t="s">
        <v>65</v>
      </c>
      <c r="R28" t="s">
        <v>46</v>
      </c>
      <c r="S28" t="s">
        <v>19</v>
      </c>
      <c r="T28" t="s">
        <v>971</v>
      </c>
      <c r="U28" t="s">
        <v>23</v>
      </c>
      <c r="V28">
        <v>0</v>
      </c>
      <c r="W28">
        <v>0</v>
      </c>
      <c r="X28">
        <v>0</v>
      </c>
      <c r="Y28">
        <v>7</v>
      </c>
      <c r="Z28">
        <v>3</v>
      </c>
      <c r="AA28">
        <v>0</v>
      </c>
      <c r="AB28" t="s">
        <v>7</v>
      </c>
      <c r="AC28" t="s">
        <v>7</v>
      </c>
      <c r="AD28" t="s">
        <v>929</v>
      </c>
      <c r="AE28" t="s">
        <v>46</v>
      </c>
      <c r="AF28" s="7" t="str">
        <f t="shared" si="0"/>
        <v>N</v>
      </c>
      <c r="AG28">
        <v>0</v>
      </c>
      <c r="AH28">
        <v>40</v>
      </c>
      <c r="AI28">
        <f>AG28-AH28</f>
        <v>-40</v>
      </c>
      <c r="AJ28" t="s">
        <v>47</v>
      </c>
      <c r="AK28" s="50" t="s">
        <v>7</v>
      </c>
      <c r="AL28" s="49" t="s">
        <v>1029</v>
      </c>
      <c r="AM28" s="50" t="s">
        <v>7</v>
      </c>
      <c r="AN28" s="52" t="s">
        <v>1057</v>
      </c>
      <c r="AO28">
        <v>300</v>
      </c>
      <c r="AT28" t="s">
        <v>23</v>
      </c>
      <c r="AU28" t="s">
        <v>23</v>
      </c>
      <c r="AV28" t="s">
        <v>223</v>
      </c>
      <c r="AW28" t="s">
        <v>223</v>
      </c>
      <c r="AX28" t="s">
        <v>221</v>
      </c>
      <c r="AY28" t="s">
        <v>221</v>
      </c>
      <c r="AZ28">
        <v>3</v>
      </c>
      <c r="BA28">
        <v>3</v>
      </c>
      <c r="BB28">
        <v>2</v>
      </c>
      <c r="BC28">
        <v>2</v>
      </c>
      <c r="BD28">
        <v>0</v>
      </c>
      <c r="BE28">
        <v>0</v>
      </c>
      <c r="BF28">
        <v>0</v>
      </c>
      <c r="BG28">
        <v>0</v>
      </c>
      <c r="BH28" s="25">
        <v>27</v>
      </c>
      <c r="BI28" s="25">
        <v>21</v>
      </c>
      <c r="BJ28" s="25">
        <v>19</v>
      </c>
      <c r="BK28" s="25">
        <v>18</v>
      </c>
      <c r="BL28" s="25">
        <v>17</v>
      </c>
      <c r="BM28" s="25">
        <v>2</v>
      </c>
      <c r="BN28" s="27">
        <v>1</v>
      </c>
      <c r="BO28" s="27">
        <v>1</v>
      </c>
      <c r="BP28" s="27">
        <v>1</v>
      </c>
      <c r="BQ28" s="27">
        <v>1</v>
      </c>
      <c r="BS28" s="27" t="s">
        <v>23</v>
      </c>
    </row>
    <row r="29" spans="1:80" x14ac:dyDescent="0.3">
      <c r="A29" s="6" t="s">
        <v>108</v>
      </c>
      <c r="B29" t="str" cm="1">
        <f t="array" aca="1" ref="B29" ca="1">CHOOSE(IF(MOD(-1*(DateTextValue(A29)-2),7)=0,7,MOD(-1*(DateTextValue(A29)-2),7)),"Sunday","Saturday","Friday","Thursday","Wednesday","Tuesday","Monday")</f>
        <v>Monday</v>
      </c>
      <c r="C29" cm="1">
        <f t="array" aca="1" ref="C29" ca="1">DateTextValue(A29)-DateTextValue(A28)</f>
        <v>9</v>
      </c>
      <c r="D29" s="17" cm="1">
        <f t="array" aca="1" ref="D29" ca="1">DateTextValue(A29)-DateTextValue(A28)</f>
        <v>9</v>
      </c>
      <c r="E29" s="17" cm="1">
        <f t="array" aca="1" ref="E29" ca="1">DateTextValue(A29)-DateTextValue(A28)</f>
        <v>9</v>
      </c>
      <c r="F29" s="9" cm="1">
        <f t="array" aca="1" ref="F29" ca="1">DateTextValue(A29)-DateTextValue(A28)</f>
        <v>9</v>
      </c>
      <c r="G29" s="9" cm="1">
        <f t="array" aca="1" ref="G29" ca="1">DateTextValue(A29)-DateTextValue(A28)</f>
        <v>9</v>
      </c>
      <c r="H29" s="1"/>
      <c r="I29" s="58" t="s">
        <v>7</v>
      </c>
      <c r="J29" s="58" t="s">
        <v>7</v>
      </c>
      <c r="K29" s="59" t="s">
        <v>7</v>
      </c>
      <c r="L29" s="59" t="s">
        <v>7</v>
      </c>
      <c r="M29" t="s">
        <v>7</v>
      </c>
      <c r="N29" t="s">
        <v>19</v>
      </c>
      <c r="O29" t="s">
        <v>949</v>
      </c>
      <c r="P29" s="7" t="s">
        <v>37</v>
      </c>
      <c r="Q29" t="s">
        <v>86</v>
      </c>
      <c r="R29" t="s">
        <v>87</v>
      </c>
      <c r="S29" t="s">
        <v>19</v>
      </c>
      <c r="T29" t="s">
        <v>970</v>
      </c>
      <c r="U29" t="s">
        <v>23</v>
      </c>
      <c r="V29">
        <v>0</v>
      </c>
      <c r="W29">
        <v>2</v>
      </c>
      <c r="X29">
        <v>0</v>
      </c>
      <c r="Y29">
        <v>3</v>
      </c>
      <c r="Z29">
        <v>5</v>
      </c>
      <c r="AA29">
        <v>0</v>
      </c>
      <c r="AB29" t="s">
        <v>7</v>
      </c>
      <c r="AC29" t="s">
        <v>7</v>
      </c>
      <c r="AD29" t="s">
        <v>70</v>
      </c>
      <c r="AE29" t="s">
        <v>43</v>
      </c>
      <c r="AF29" s="7" t="str">
        <f t="shared" si="0"/>
        <v>N</v>
      </c>
      <c r="AG29" t="s">
        <v>7</v>
      </c>
      <c r="AH29" t="s">
        <v>7</v>
      </c>
      <c r="AI29" t="s">
        <v>7</v>
      </c>
      <c r="AJ29" t="s">
        <v>7</v>
      </c>
      <c r="AK29" s="50" t="s">
        <v>7</v>
      </c>
      <c r="AL29" s="49" t="s">
        <v>7</v>
      </c>
      <c r="AM29" s="50" t="s">
        <v>7</v>
      </c>
      <c r="AN29" s="49" t="s">
        <v>7</v>
      </c>
      <c r="AO29" t="s">
        <v>7</v>
      </c>
      <c r="AS29" t="s">
        <v>109</v>
      </c>
      <c r="AT29" s="26" t="s">
        <v>28</v>
      </c>
      <c r="AU29" t="s">
        <v>28</v>
      </c>
      <c r="BH29" s="25">
        <v>28</v>
      </c>
      <c r="BM29" s="25">
        <v>3</v>
      </c>
    </row>
    <row r="30" spans="1:80" x14ac:dyDescent="0.3">
      <c r="A30" s="6" t="s">
        <v>110</v>
      </c>
      <c r="B30" t="str" cm="1">
        <f t="array" aca="1" ref="B30" ca="1">CHOOSE(IF(MOD(-1*(DateTextValue(A30)-2),7)=0,7,MOD(-1*(DateTextValue(A30)-2),7)),"Sunday","Saturday","Friday","Thursday","Wednesday","Tuesday","Monday")</f>
        <v>Friday</v>
      </c>
      <c r="C30" cm="1">
        <f t="array" aca="1" ref="C30" ca="1">DateTextValue(A30)-DateTextValue(A29)</f>
        <v>11</v>
      </c>
      <c r="D30" s="14" cm="1">
        <f t="array" aca="1" ref="D30" ca="1">DateTextValue(A30)-DateTextValue(A28)</f>
        <v>20</v>
      </c>
      <c r="E30" s="17" cm="1">
        <f t="array" aca="1" ref="E30" ca="1">DateTextValue(A30)-DateTextValue(A28)</f>
        <v>20</v>
      </c>
      <c r="F30" s="9" cm="1">
        <f t="array" aca="1" ref="F30" ca="1">DateTextValue(A30)-DateTextValue(A28)</f>
        <v>20</v>
      </c>
      <c r="G30" s="9" cm="1">
        <f t="array" aca="1" ref="G30" ca="1">DateTextValue(A30)-DateTextValue(A28)</f>
        <v>20</v>
      </c>
      <c r="H30" s="1">
        <v>0.68055555555555547</v>
      </c>
      <c r="K30" s="59" t="s">
        <v>7</v>
      </c>
      <c r="L30" s="59" t="s">
        <v>7</v>
      </c>
      <c r="N30" t="s">
        <v>19</v>
      </c>
      <c r="O30" t="s">
        <v>949</v>
      </c>
      <c r="P30" s="7" t="s">
        <v>37</v>
      </c>
      <c r="Q30" t="s">
        <v>103</v>
      </c>
      <c r="R30" t="s">
        <v>58</v>
      </c>
      <c r="S30" t="s">
        <v>19</v>
      </c>
      <c r="T30" t="s">
        <v>951</v>
      </c>
      <c r="U30" t="s">
        <v>23</v>
      </c>
      <c r="V30">
        <v>1</v>
      </c>
      <c r="W30">
        <v>1</v>
      </c>
      <c r="X30">
        <v>0</v>
      </c>
      <c r="Y30">
        <v>2</v>
      </c>
      <c r="Z30">
        <v>1</v>
      </c>
      <c r="AA30">
        <v>1</v>
      </c>
      <c r="AB30" t="s">
        <v>7</v>
      </c>
      <c r="AC30" t="s">
        <v>7</v>
      </c>
      <c r="AD30" t="s">
        <v>70</v>
      </c>
      <c r="AE30" t="s">
        <v>43</v>
      </c>
      <c r="AF30" s="7" t="str">
        <f t="shared" si="0"/>
        <v>N</v>
      </c>
      <c r="AG30">
        <v>0</v>
      </c>
      <c r="AH30">
        <v>18</v>
      </c>
      <c r="AI30">
        <f>AG30-AH30</f>
        <v>-18</v>
      </c>
      <c r="AJ30" t="s">
        <v>47</v>
      </c>
      <c r="AK30" s="50" t="s">
        <v>7</v>
      </c>
      <c r="AL30" s="49" t="s">
        <v>1030</v>
      </c>
      <c r="AM30" s="50" t="s">
        <v>7</v>
      </c>
      <c r="AN30" s="52" t="s">
        <v>1058</v>
      </c>
      <c r="AT30" t="s">
        <v>23</v>
      </c>
      <c r="AU30" t="s">
        <v>23</v>
      </c>
      <c r="AV30" t="s">
        <v>222</v>
      </c>
      <c r="AW30" t="s">
        <v>222</v>
      </c>
      <c r="AX30" t="s">
        <v>222</v>
      </c>
      <c r="AY30" t="s">
        <v>222</v>
      </c>
      <c r="AZ30">
        <v>0</v>
      </c>
      <c r="BA30">
        <v>0</v>
      </c>
      <c r="BB30">
        <v>0</v>
      </c>
      <c r="BC30">
        <v>0</v>
      </c>
      <c r="BD30">
        <v>1</v>
      </c>
      <c r="BE30">
        <v>1</v>
      </c>
      <c r="BF30">
        <v>1</v>
      </c>
      <c r="BG30">
        <v>1</v>
      </c>
      <c r="BH30" s="25">
        <v>29</v>
      </c>
      <c r="BI30" s="25">
        <v>22</v>
      </c>
      <c r="BJ30" s="25">
        <v>20</v>
      </c>
      <c r="BK30" s="25">
        <v>19</v>
      </c>
      <c r="BL30" s="25">
        <v>18</v>
      </c>
      <c r="BM30" s="25">
        <v>4</v>
      </c>
      <c r="BN30" s="27">
        <v>2</v>
      </c>
      <c r="BO30" s="27">
        <v>2</v>
      </c>
      <c r="BP30" s="27">
        <v>2</v>
      </c>
      <c r="BQ30" s="27">
        <v>2</v>
      </c>
      <c r="BT30" s="71" t="s">
        <v>23</v>
      </c>
      <c r="BU30" s="25" t="s">
        <v>23</v>
      </c>
      <c r="CA30" s="7" t="s">
        <v>23</v>
      </c>
      <c r="CB30" s="7" t="s">
        <v>23</v>
      </c>
    </row>
    <row r="31" spans="1:80" x14ac:dyDescent="0.3">
      <c r="A31" s="18" t="s">
        <v>111</v>
      </c>
      <c r="B31" s="38" t="s">
        <v>1229</v>
      </c>
      <c r="C31" cm="1">
        <f t="array" aca="1" ref="C31" ca="1">DateTextValue(A31)-DateTextValue(A30)</f>
        <v>70</v>
      </c>
      <c r="D31" s="19" cm="1">
        <f t="array" aca="1" ref="D31" ca="1">DateTextValue(A31)-DateTextValue(A30)</f>
        <v>70</v>
      </c>
      <c r="E31" s="17" cm="1">
        <f t="array" aca="1" ref="E31" ca="1">DateTextValue(A31)-DateTextValue(A30)</f>
        <v>70</v>
      </c>
      <c r="F31" s="9" cm="1">
        <f t="array" aca="1" ref="F31" ca="1">DateTextValue(A31)-DateTextValue(A30)</f>
        <v>70</v>
      </c>
      <c r="G31" s="9" cm="1">
        <f t="array" aca="1" ref="G31" ca="1">DateTextValue(A31)-DateTextValue(A30)</f>
        <v>70</v>
      </c>
      <c r="H31" s="1"/>
      <c r="K31" s="59" t="s">
        <v>7</v>
      </c>
      <c r="L31" s="59" t="s">
        <v>7</v>
      </c>
      <c r="N31" t="s">
        <v>19</v>
      </c>
      <c r="O31" t="s">
        <v>949</v>
      </c>
      <c r="P31" s="7" t="s">
        <v>37</v>
      </c>
      <c r="Q31" t="s">
        <v>112</v>
      </c>
      <c r="R31" t="s">
        <v>113</v>
      </c>
      <c r="S31" t="s">
        <v>19</v>
      </c>
      <c r="T31" s="38" t="s">
        <v>961</v>
      </c>
      <c r="U31" t="s">
        <v>23</v>
      </c>
      <c r="V31">
        <v>0</v>
      </c>
      <c r="W31">
        <v>0</v>
      </c>
      <c r="X31">
        <v>0</v>
      </c>
      <c r="Y31">
        <v>0</v>
      </c>
      <c r="Z31">
        <v>1</v>
      </c>
      <c r="AA31">
        <v>0</v>
      </c>
      <c r="AB31" t="s">
        <v>7</v>
      </c>
      <c r="AC31" t="s">
        <v>7</v>
      </c>
      <c r="AF31" s="7" t="str">
        <f t="shared" si="0"/>
        <v>N</v>
      </c>
      <c r="AG31">
        <v>19</v>
      </c>
      <c r="AH31">
        <v>0</v>
      </c>
      <c r="AI31">
        <f>AG31-AH31</f>
        <v>19</v>
      </c>
      <c r="AJ31" t="s">
        <v>13</v>
      </c>
      <c r="AK31" s="50" t="s">
        <v>7</v>
      </c>
      <c r="AL31" s="51" t="s">
        <v>959</v>
      </c>
      <c r="AM31" s="50" t="s">
        <v>7</v>
      </c>
      <c r="AN31" s="51" t="s">
        <v>1059</v>
      </c>
      <c r="AS31" s="67" t="s">
        <v>30</v>
      </c>
      <c r="AT31" s="22" t="s">
        <v>196</v>
      </c>
      <c r="AU31" t="s">
        <v>23</v>
      </c>
      <c r="AV31" t="s">
        <v>231</v>
      </c>
      <c r="AW31" t="s">
        <v>231</v>
      </c>
      <c r="AX31" t="s">
        <v>249</v>
      </c>
      <c r="AY31" t="s">
        <v>249</v>
      </c>
      <c r="AZ31">
        <v>0</v>
      </c>
      <c r="BA31">
        <v>0</v>
      </c>
      <c r="BB31" t="s">
        <v>249</v>
      </c>
      <c r="BC31" t="s">
        <v>249</v>
      </c>
      <c r="BD31">
        <v>2</v>
      </c>
      <c r="BE31">
        <v>2</v>
      </c>
      <c r="BF31" t="s">
        <v>249</v>
      </c>
      <c r="BG31" t="s">
        <v>249</v>
      </c>
      <c r="BH31" s="25">
        <v>30</v>
      </c>
      <c r="BI31" s="25">
        <v>23</v>
      </c>
      <c r="BJ31" s="25">
        <v>21</v>
      </c>
      <c r="BM31" s="25">
        <v>5</v>
      </c>
      <c r="BN31" s="27">
        <v>3</v>
      </c>
      <c r="BO31" s="27">
        <v>3</v>
      </c>
      <c r="BR31" s="27" t="s">
        <v>23</v>
      </c>
      <c r="BS31" s="27" t="s">
        <v>23</v>
      </c>
      <c r="BY31" s="71" t="s">
        <v>23</v>
      </c>
      <c r="BZ31" s="7" t="s">
        <v>23</v>
      </c>
    </row>
    <row r="32" spans="1:80" x14ac:dyDescent="0.3">
      <c r="A32" s="6" t="s">
        <v>114</v>
      </c>
      <c r="B32" t="str" cm="1">
        <f t="array" aca="1" ref="B32" ca="1">CHOOSE(IF(MOD(-1*(DateTextValue(A32)-2),7)=0,7,MOD(-1*(DateTextValue(A32)-2),7)),"Sunday","Saturday","Friday","Thursday","Wednesday","Tuesday","Monday")</f>
        <v>Saturday</v>
      </c>
      <c r="C32" cm="1">
        <f t="array" aca="1" ref="C32" ca="1">DateTextValue(A32)-DateTextValue(A31)</f>
        <v>288</v>
      </c>
      <c r="D32" s="11" cm="1">
        <f t="array" aca="1" ref="D32" ca="1">DateTextValue(A32)-DateTextValue(A31)</f>
        <v>288</v>
      </c>
      <c r="E32" s="17" cm="1">
        <f t="array" aca="1" ref="E32" ca="1">DateTextValue(A32)-DateTextValue(A31)</f>
        <v>288</v>
      </c>
      <c r="F32" s="20" cm="1">
        <f t="array" aca="1" ref="F32" ca="1">DateTextValue(A32)-DateTextValue(A30)</f>
        <v>358</v>
      </c>
      <c r="G32" s="20" cm="1">
        <f t="array" aca="1" ref="G32" ca="1">DateTextValue(A32)-DateTextValue(A30)</f>
        <v>358</v>
      </c>
      <c r="H32" s="1">
        <v>0.66666666666666663</v>
      </c>
      <c r="I32" s="65">
        <v>20</v>
      </c>
      <c r="J32" s="65">
        <v>15</v>
      </c>
      <c r="K32" s="59" t="s">
        <v>7</v>
      </c>
      <c r="L32" s="59" t="s">
        <v>7</v>
      </c>
      <c r="M32">
        <v>35</v>
      </c>
      <c r="N32" t="s">
        <v>19</v>
      </c>
      <c r="O32" t="s">
        <v>950</v>
      </c>
      <c r="P32" s="7" t="s">
        <v>38</v>
      </c>
      <c r="Q32" t="s">
        <v>65</v>
      </c>
      <c r="R32" t="s">
        <v>46</v>
      </c>
      <c r="S32" t="s">
        <v>19</v>
      </c>
      <c r="T32" t="s">
        <v>971</v>
      </c>
      <c r="U32" t="s">
        <v>23</v>
      </c>
      <c r="V32">
        <v>1</v>
      </c>
      <c r="W32">
        <v>0</v>
      </c>
      <c r="X32">
        <v>0</v>
      </c>
      <c r="Y32">
        <v>9</v>
      </c>
      <c r="Z32">
        <v>0</v>
      </c>
      <c r="AA32">
        <v>0</v>
      </c>
      <c r="AB32" t="s">
        <v>7</v>
      </c>
      <c r="AC32" t="s">
        <v>7</v>
      </c>
      <c r="AD32" t="s">
        <v>929</v>
      </c>
      <c r="AE32" t="s">
        <v>46</v>
      </c>
      <c r="AF32" s="7" t="str">
        <f t="shared" si="0"/>
        <v>N</v>
      </c>
      <c r="AG32">
        <v>0</v>
      </c>
      <c r="AH32">
        <v>34</v>
      </c>
      <c r="AI32">
        <f t="shared" ref="AI32:AI38" si="3">AG32-AH32</f>
        <v>-34</v>
      </c>
      <c r="AJ32" t="s">
        <v>47</v>
      </c>
      <c r="AK32" s="50" t="s">
        <v>7</v>
      </c>
      <c r="AL32" s="49" t="s">
        <v>1023</v>
      </c>
      <c r="AM32" s="50" t="s">
        <v>7</v>
      </c>
      <c r="AN32" s="52" t="s">
        <v>1060</v>
      </c>
      <c r="AO32">
        <v>250</v>
      </c>
      <c r="AT32" t="s">
        <v>23</v>
      </c>
      <c r="AU32" t="s">
        <v>23</v>
      </c>
      <c r="AV32" t="s">
        <v>221</v>
      </c>
      <c r="AW32" t="s">
        <v>221</v>
      </c>
      <c r="AX32" t="s">
        <v>231</v>
      </c>
      <c r="AY32" t="s">
        <v>231</v>
      </c>
      <c r="AZ32">
        <v>1</v>
      </c>
      <c r="BA32">
        <v>1</v>
      </c>
      <c r="BB32">
        <v>0</v>
      </c>
      <c r="BC32">
        <v>0</v>
      </c>
      <c r="BD32">
        <v>0</v>
      </c>
      <c r="BE32">
        <v>0</v>
      </c>
      <c r="BF32">
        <v>2</v>
      </c>
      <c r="BG32">
        <v>2</v>
      </c>
      <c r="BH32" s="25">
        <v>31</v>
      </c>
      <c r="BI32" s="25">
        <v>24</v>
      </c>
      <c r="BJ32" s="25">
        <v>22</v>
      </c>
      <c r="BK32" s="25">
        <v>20</v>
      </c>
      <c r="BL32" s="25">
        <v>19</v>
      </c>
      <c r="BM32" s="25">
        <v>1</v>
      </c>
      <c r="BN32" s="27">
        <v>1</v>
      </c>
      <c r="BO32" s="27">
        <v>1</v>
      </c>
      <c r="BP32" s="27">
        <v>1</v>
      </c>
      <c r="BQ32" s="27">
        <v>1</v>
      </c>
    </row>
    <row r="33" spans="1:80" x14ac:dyDescent="0.3">
      <c r="A33" s="6" t="s">
        <v>115</v>
      </c>
      <c r="B33" t="str" cm="1">
        <f t="array" aca="1" ref="B33" ca="1">CHOOSE(IF(MOD(-1*(DateTextValue(A33)-2),7)=0,7,MOD(-1*(DateTextValue(A33)-2),7)),"Sunday","Saturday","Friday","Thursday","Wednesday","Tuesday","Monday")</f>
        <v>Saturday</v>
      </c>
      <c r="C33" cm="1">
        <f t="array" aca="1" ref="C33" ca="1">DateTextValue(A33)-DateTextValue(A32)</f>
        <v>28</v>
      </c>
      <c r="D33" s="9" cm="1">
        <f t="array" aca="1" ref="D33" ca="1">DateTextValue(A33)-DateTextValue(A32)</f>
        <v>28</v>
      </c>
      <c r="E33" s="17" cm="1">
        <f t="array" aca="1" ref="E33" ca="1">DateTextValue(A33)-DateTextValue(A32)</f>
        <v>28</v>
      </c>
      <c r="F33" s="9" cm="1">
        <f t="array" aca="1" ref="F33" ca="1">DateTextValue(A33)-DateTextValue(A32)</f>
        <v>28</v>
      </c>
      <c r="G33" s="9" cm="1">
        <f t="array" aca="1" ref="G33" ca="1">DateTextValue(A33)-DateTextValue(A32)</f>
        <v>28</v>
      </c>
      <c r="H33" s="1">
        <v>0.625</v>
      </c>
      <c r="K33" s="59" t="s">
        <v>7</v>
      </c>
      <c r="L33" s="59" t="s">
        <v>7</v>
      </c>
      <c r="N33" t="s">
        <v>19</v>
      </c>
      <c r="O33" t="s">
        <v>950</v>
      </c>
      <c r="P33" s="7" t="s">
        <v>28</v>
      </c>
      <c r="Q33" t="s">
        <v>116</v>
      </c>
      <c r="R33" t="s">
        <v>117</v>
      </c>
      <c r="S33" t="s">
        <v>19</v>
      </c>
      <c r="T33" s="4" t="s">
        <v>959</v>
      </c>
      <c r="U33" t="s">
        <v>33</v>
      </c>
      <c r="V33">
        <v>1</v>
      </c>
      <c r="W33">
        <v>0</v>
      </c>
      <c r="X33">
        <v>0</v>
      </c>
      <c r="Y33">
        <v>2</v>
      </c>
      <c r="Z33">
        <v>1</v>
      </c>
      <c r="AA33">
        <v>0</v>
      </c>
      <c r="AB33" t="s">
        <v>7</v>
      </c>
      <c r="AC33" t="s">
        <v>7</v>
      </c>
      <c r="AD33" t="s">
        <v>69</v>
      </c>
      <c r="AE33" t="s">
        <v>71</v>
      </c>
      <c r="AF33" s="7" t="str">
        <f t="shared" si="0"/>
        <v>N</v>
      </c>
      <c r="AG33">
        <v>0</v>
      </c>
      <c r="AH33">
        <v>6</v>
      </c>
      <c r="AI33">
        <f t="shared" si="3"/>
        <v>-6</v>
      </c>
      <c r="AJ33" t="s">
        <v>47</v>
      </c>
      <c r="AK33" s="50" t="s">
        <v>7</v>
      </c>
      <c r="AL33" s="51" t="s">
        <v>959</v>
      </c>
      <c r="AM33" s="50" t="s">
        <v>7</v>
      </c>
      <c r="AN33" s="52" t="s">
        <v>1046</v>
      </c>
      <c r="AT33" t="s">
        <v>23</v>
      </c>
      <c r="AU33" t="s">
        <v>23</v>
      </c>
      <c r="AV33" t="s">
        <v>222</v>
      </c>
      <c r="AW33" t="s">
        <v>222</v>
      </c>
      <c r="AX33" t="s">
        <v>227</v>
      </c>
      <c r="AY33" t="s">
        <v>227</v>
      </c>
      <c r="AZ33">
        <v>0</v>
      </c>
      <c r="BA33">
        <v>0</v>
      </c>
      <c r="BB33">
        <v>0</v>
      </c>
      <c r="BC33">
        <v>0</v>
      </c>
      <c r="BD33">
        <v>1</v>
      </c>
      <c r="BE33">
        <v>1</v>
      </c>
      <c r="BF33">
        <v>3</v>
      </c>
      <c r="BG33">
        <v>3</v>
      </c>
      <c r="BH33" s="25">
        <v>32</v>
      </c>
      <c r="BI33" s="25">
        <v>25</v>
      </c>
      <c r="BJ33" s="25">
        <v>23</v>
      </c>
      <c r="BK33" s="25">
        <v>21</v>
      </c>
      <c r="BL33" s="25">
        <v>20</v>
      </c>
      <c r="BM33" s="25">
        <v>2</v>
      </c>
      <c r="BN33" s="27">
        <v>2</v>
      </c>
      <c r="BO33" s="27">
        <v>2</v>
      </c>
      <c r="BP33" s="27">
        <v>2</v>
      </c>
      <c r="BQ33" s="27">
        <v>2</v>
      </c>
    </row>
    <row r="34" spans="1:80" x14ac:dyDescent="0.3">
      <c r="A34" s="6" t="s">
        <v>118</v>
      </c>
      <c r="B34" t="str" cm="1">
        <f t="array" aca="1" ref="B34" ca="1">CHOOSE(IF(MOD(-1*(DateTextValue(A34)-2),7)=0,7,MOD(-1*(DateTextValue(A34)-2),7)),"Sunday","Saturday","Friday","Thursday","Wednesday","Tuesday","Monday")</f>
        <v>Saturday</v>
      </c>
      <c r="C34" cm="1">
        <f t="array" aca="1" ref="C34" ca="1">DateTextValue(A34)-DateTextValue(A33)</f>
        <v>7</v>
      </c>
      <c r="D34" s="9" cm="1">
        <f t="array" aca="1" ref="D34" ca="1">DateTextValue(A34)-DateTextValue(A33)</f>
        <v>7</v>
      </c>
      <c r="E34" s="17" cm="1">
        <f t="array" aca="1" ref="E34" ca="1">DateTextValue(A34)-DateTextValue(A33)</f>
        <v>7</v>
      </c>
      <c r="F34" s="9" cm="1">
        <f t="array" aca="1" ref="F34" ca="1">DateTextValue(A34)-DateTextValue(A33)</f>
        <v>7</v>
      </c>
      <c r="G34" s="9" cm="1">
        <f t="array" aca="1" ref="G34" ca="1">DateTextValue(A34)-DateTextValue(A33)</f>
        <v>7</v>
      </c>
      <c r="I34" s="58">
        <v>20</v>
      </c>
      <c r="J34" s="58">
        <v>20</v>
      </c>
      <c r="K34" s="59" t="s">
        <v>7</v>
      </c>
      <c r="L34" s="59" t="s">
        <v>7</v>
      </c>
      <c r="M34">
        <v>40</v>
      </c>
      <c r="N34" t="s">
        <v>19</v>
      </c>
      <c r="O34" t="s">
        <v>950</v>
      </c>
      <c r="P34" s="7" t="s">
        <v>28</v>
      </c>
      <c r="Q34" t="s">
        <v>119</v>
      </c>
      <c r="R34" t="s">
        <v>120</v>
      </c>
      <c r="S34" t="s">
        <v>19</v>
      </c>
      <c r="T34" t="s">
        <v>972</v>
      </c>
      <c r="U34" t="s">
        <v>33</v>
      </c>
      <c r="V34">
        <v>0</v>
      </c>
      <c r="W34">
        <v>2</v>
      </c>
      <c r="X34">
        <v>0</v>
      </c>
      <c r="Y34">
        <v>2</v>
      </c>
      <c r="Z34">
        <v>2</v>
      </c>
      <c r="AA34">
        <v>0</v>
      </c>
      <c r="AB34" t="s">
        <v>7</v>
      </c>
      <c r="AC34" t="s">
        <v>7</v>
      </c>
      <c r="AD34" t="s">
        <v>929</v>
      </c>
      <c r="AE34" t="s">
        <v>46</v>
      </c>
      <c r="AF34" s="7" t="str">
        <f t="shared" ref="AF34:AF65" si="4">IF(ISBLANK(S34)," ",IF(AND(S34=N34,N34&lt;&gt;"Independent"),"Y","N"))</f>
        <v>N</v>
      </c>
      <c r="AG34">
        <v>12</v>
      </c>
      <c r="AH34">
        <v>22</v>
      </c>
      <c r="AI34">
        <f t="shared" si="3"/>
        <v>-10</v>
      </c>
      <c r="AJ34" t="s">
        <v>47</v>
      </c>
      <c r="AK34" s="50" t="s">
        <v>7</v>
      </c>
      <c r="AL34" s="49" t="s">
        <v>1031</v>
      </c>
      <c r="AM34" s="50" t="s">
        <v>7</v>
      </c>
      <c r="AN34" s="52" t="s">
        <v>1061</v>
      </c>
      <c r="AS34" t="s">
        <v>121</v>
      </c>
      <c r="AT34" t="s">
        <v>23</v>
      </c>
      <c r="AU34" t="s">
        <v>23</v>
      </c>
      <c r="AV34" t="s">
        <v>231</v>
      </c>
      <c r="AW34" t="s">
        <v>231</v>
      </c>
      <c r="AX34" t="s">
        <v>230</v>
      </c>
      <c r="AY34" t="s">
        <v>230</v>
      </c>
      <c r="AZ34">
        <v>0</v>
      </c>
      <c r="BA34">
        <v>0</v>
      </c>
      <c r="BB34">
        <v>0</v>
      </c>
      <c r="BC34">
        <v>0</v>
      </c>
      <c r="BD34">
        <v>2</v>
      </c>
      <c r="BE34">
        <v>2</v>
      </c>
      <c r="BF34">
        <v>4</v>
      </c>
      <c r="BG34">
        <v>4</v>
      </c>
      <c r="BH34" s="25">
        <v>33</v>
      </c>
      <c r="BI34" s="25">
        <v>26</v>
      </c>
      <c r="BJ34" s="25">
        <v>24</v>
      </c>
      <c r="BK34" s="25">
        <v>22</v>
      </c>
      <c r="BL34" s="25">
        <v>21</v>
      </c>
      <c r="BM34" s="25">
        <v>3</v>
      </c>
      <c r="BN34" s="27">
        <v>3</v>
      </c>
      <c r="BO34" s="27">
        <v>3</v>
      </c>
      <c r="BP34" s="27">
        <v>3</v>
      </c>
      <c r="BQ34" s="27">
        <v>3</v>
      </c>
    </row>
    <row r="35" spans="1:80" x14ac:dyDescent="0.3">
      <c r="A35" s="6" t="s">
        <v>122</v>
      </c>
      <c r="B35" t="str" cm="1">
        <f t="array" aca="1" ref="B35" ca="1">CHOOSE(IF(MOD(-1*(DateTextValue(A35)-2),7)=0,7,MOD(-1*(DateTextValue(A35)-2),7)),"Sunday","Saturday","Friday","Thursday","Wednesday","Tuesday","Monday")</f>
        <v>Thursday</v>
      </c>
      <c r="C35" cm="1">
        <f t="array" aca="1" ref="C35" ca="1">DateTextValue(A35)-DateTextValue(A34)</f>
        <v>5</v>
      </c>
      <c r="D35" s="9" cm="1">
        <f t="array" aca="1" ref="D35" ca="1">DateTextValue(A35)-DateTextValue(A34)</f>
        <v>5</v>
      </c>
      <c r="E35" s="17" cm="1">
        <f t="array" aca="1" ref="E35" ca="1">DateTextValue(A35)-DateTextValue(A34)</f>
        <v>5</v>
      </c>
      <c r="F35" s="9" cm="1">
        <f t="array" aca="1" ref="F35" ca="1">DateTextValue(A35)-DateTextValue(A34)</f>
        <v>5</v>
      </c>
      <c r="G35" s="9" cm="1">
        <f t="array" aca="1" ref="G35" ca="1">DateTextValue(A35)-DateTextValue(A34)</f>
        <v>5</v>
      </c>
      <c r="H35" s="1">
        <v>0.64583333333333337</v>
      </c>
      <c r="I35" s="65">
        <v>30</v>
      </c>
      <c r="J35" s="65">
        <v>15</v>
      </c>
      <c r="K35" s="59" t="s">
        <v>7</v>
      </c>
      <c r="L35" s="59" t="s">
        <v>7</v>
      </c>
      <c r="M35">
        <v>45</v>
      </c>
      <c r="N35" t="s">
        <v>19</v>
      </c>
      <c r="O35" t="s">
        <v>950</v>
      </c>
      <c r="P35" s="7" t="s">
        <v>37</v>
      </c>
      <c r="Q35" t="s">
        <v>103</v>
      </c>
      <c r="R35" t="s">
        <v>58</v>
      </c>
      <c r="S35" t="s">
        <v>19</v>
      </c>
      <c r="T35" s="38" t="s">
        <v>961</v>
      </c>
      <c r="U35" t="s">
        <v>23</v>
      </c>
      <c r="V35">
        <v>0</v>
      </c>
      <c r="W35">
        <v>2</v>
      </c>
      <c r="X35">
        <v>0</v>
      </c>
      <c r="Y35">
        <v>0</v>
      </c>
      <c r="Z35">
        <v>3</v>
      </c>
      <c r="AA35">
        <v>0</v>
      </c>
      <c r="AB35" t="s">
        <v>7</v>
      </c>
      <c r="AC35" t="s">
        <v>7</v>
      </c>
      <c r="AD35" t="s">
        <v>45</v>
      </c>
      <c r="AE35" t="s">
        <v>43</v>
      </c>
      <c r="AF35" s="7" t="str">
        <f t="shared" si="4"/>
        <v>N</v>
      </c>
      <c r="AG35">
        <v>21</v>
      </c>
      <c r="AH35">
        <v>0</v>
      </c>
      <c r="AI35">
        <f t="shared" si="3"/>
        <v>21</v>
      </c>
      <c r="AJ35" t="s">
        <v>13</v>
      </c>
      <c r="AK35" s="50" t="s">
        <v>7</v>
      </c>
      <c r="AL35" s="49" t="s">
        <v>1032</v>
      </c>
      <c r="AM35" s="50" t="s">
        <v>7</v>
      </c>
      <c r="AN35" s="52" t="s">
        <v>1062</v>
      </c>
      <c r="AO35">
        <f>(250+500)/2</f>
        <v>375</v>
      </c>
      <c r="AP35" s="60">
        <v>250</v>
      </c>
      <c r="AQ35" s="60">
        <v>500</v>
      </c>
      <c r="AR35" t="s">
        <v>59</v>
      </c>
      <c r="AT35" t="s">
        <v>23</v>
      </c>
      <c r="AU35" t="s">
        <v>23</v>
      </c>
      <c r="AV35" t="s">
        <v>227</v>
      </c>
      <c r="AW35" t="s">
        <v>227</v>
      </c>
      <c r="AX35" t="s">
        <v>228</v>
      </c>
      <c r="AY35" t="s">
        <v>228</v>
      </c>
      <c r="AZ35">
        <v>0</v>
      </c>
      <c r="BA35">
        <v>0</v>
      </c>
      <c r="BB35">
        <v>0</v>
      </c>
      <c r="BC35">
        <v>0</v>
      </c>
      <c r="BD35">
        <v>3</v>
      </c>
      <c r="BE35">
        <v>3</v>
      </c>
      <c r="BF35">
        <v>5</v>
      </c>
      <c r="BG35">
        <v>5</v>
      </c>
      <c r="BH35" s="25">
        <v>34</v>
      </c>
      <c r="BI35" s="25">
        <v>27</v>
      </c>
      <c r="BJ35" s="25">
        <v>25</v>
      </c>
      <c r="BK35" s="25">
        <v>23</v>
      </c>
      <c r="BL35" s="25">
        <v>22</v>
      </c>
      <c r="BM35" s="25">
        <v>4</v>
      </c>
      <c r="BN35" s="27">
        <v>4</v>
      </c>
      <c r="BO35" s="27">
        <v>4</v>
      </c>
      <c r="BP35" s="27">
        <v>4</v>
      </c>
      <c r="BQ35" s="27">
        <v>4</v>
      </c>
      <c r="BR35" s="27" t="s">
        <v>23</v>
      </c>
      <c r="BS35" s="27" t="s">
        <v>23</v>
      </c>
      <c r="BT35" s="71" t="s">
        <v>23</v>
      </c>
      <c r="BU35" s="27" t="s">
        <v>23</v>
      </c>
      <c r="BV35" s="27"/>
      <c r="BW35" s="27"/>
      <c r="BY35" s="71" t="s">
        <v>23</v>
      </c>
      <c r="BZ35" s="7" t="s">
        <v>23</v>
      </c>
      <c r="CA35" s="7" t="s">
        <v>23</v>
      </c>
      <c r="CB35" s="7" t="s">
        <v>23</v>
      </c>
    </row>
    <row r="36" spans="1:80" x14ac:dyDescent="0.3">
      <c r="A36" s="6" t="s">
        <v>123</v>
      </c>
      <c r="B36" t="str" cm="1">
        <f t="array" aca="1" ref="B36" ca="1">CHOOSE(IF(MOD(-1*(DateTextValue(A36)-2),7)=0,7,MOD(-1*(DateTextValue(A36)-2),7)),"Sunday","Saturday","Friday","Thursday","Wednesday","Tuesday","Monday")</f>
        <v>Saturday</v>
      </c>
      <c r="C36" cm="1">
        <f t="array" aca="1" ref="C36" ca="1">DateTextValue(A36)-DateTextValue(A35)</f>
        <v>317</v>
      </c>
      <c r="D36" s="9" cm="1">
        <f t="array" aca="1" ref="D36" ca="1">DateTextValue(A36)-DateTextValue(A35)</f>
        <v>317</v>
      </c>
      <c r="E36" s="17" cm="1">
        <f t="array" aca="1" ref="E36" ca="1">DateTextValue(A36)-DateTextValue(A35)</f>
        <v>317</v>
      </c>
      <c r="F36" s="9" cm="1">
        <f t="array" aca="1" ref="F36" ca="1">DateTextValue(A36)-DateTextValue(A35)</f>
        <v>317</v>
      </c>
      <c r="G36" s="9" cm="1">
        <f t="array" aca="1" ref="G36" ca="1">DateTextValue(A36)-DateTextValue(A35)</f>
        <v>317</v>
      </c>
      <c r="H36" s="1">
        <v>0.66666666666666663</v>
      </c>
      <c r="I36" s="58">
        <v>20</v>
      </c>
      <c r="J36" s="58">
        <v>20</v>
      </c>
      <c r="K36" s="59" t="s">
        <v>7</v>
      </c>
      <c r="L36" s="59" t="s">
        <v>7</v>
      </c>
      <c r="M36">
        <v>40</v>
      </c>
      <c r="N36" t="s">
        <v>19</v>
      </c>
      <c r="O36" t="s">
        <v>950</v>
      </c>
      <c r="P36" s="7" t="s">
        <v>38</v>
      </c>
      <c r="Q36" t="s">
        <v>65</v>
      </c>
      <c r="R36" t="s">
        <v>46</v>
      </c>
      <c r="S36" t="s">
        <v>140</v>
      </c>
      <c r="T36" t="s">
        <v>971</v>
      </c>
      <c r="U36" t="s">
        <v>23</v>
      </c>
      <c r="V36">
        <v>0</v>
      </c>
      <c r="W36">
        <v>0</v>
      </c>
      <c r="X36">
        <v>0</v>
      </c>
      <c r="Y36">
        <v>7</v>
      </c>
      <c r="Z36">
        <v>3</v>
      </c>
      <c r="AA36">
        <v>1</v>
      </c>
      <c r="AB36" t="s">
        <v>7</v>
      </c>
      <c r="AC36" t="s">
        <v>7</v>
      </c>
      <c r="AD36" t="s">
        <v>929</v>
      </c>
      <c r="AE36" t="s">
        <v>46</v>
      </c>
      <c r="AF36" s="7" t="str">
        <f t="shared" si="4"/>
        <v>N</v>
      </c>
      <c r="AG36">
        <v>0</v>
      </c>
      <c r="AH36">
        <v>34</v>
      </c>
      <c r="AI36">
        <f t="shared" si="3"/>
        <v>-34</v>
      </c>
      <c r="AJ36" t="s">
        <v>47</v>
      </c>
      <c r="AK36" s="50" t="s">
        <v>7</v>
      </c>
      <c r="AL36" s="49" t="s">
        <v>1023</v>
      </c>
      <c r="AM36" s="50" t="s">
        <v>7</v>
      </c>
      <c r="AN36" s="52" t="s">
        <v>1060</v>
      </c>
      <c r="AT36" t="s">
        <v>23</v>
      </c>
      <c r="AU36" t="s">
        <v>23</v>
      </c>
      <c r="AV36" t="s">
        <v>221</v>
      </c>
      <c r="AW36" t="s">
        <v>221</v>
      </c>
      <c r="AX36" t="s">
        <v>221</v>
      </c>
      <c r="AY36" t="s">
        <v>221</v>
      </c>
      <c r="AZ36">
        <v>1</v>
      </c>
      <c r="BA36">
        <v>1</v>
      </c>
      <c r="BB36">
        <v>1</v>
      </c>
      <c r="BC36">
        <v>1</v>
      </c>
      <c r="BD36">
        <v>0</v>
      </c>
      <c r="BE36">
        <v>0</v>
      </c>
      <c r="BF36">
        <v>0</v>
      </c>
      <c r="BG36">
        <v>0</v>
      </c>
      <c r="BH36" s="25">
        <v>35</v>
      </c>
      <c r="BI36" s="25">
        <v>28</v>
      </c>
      <c r="BJ36" s="25">
        <v>26</v>
      </c>
      <c r="BK36" s="25">
        <v>24</v>
      </c>
      <c r="BL36" s="25">
        <v>23</v>
      </c>
      <c r="BM36" s="25">
        <v>1</v>
      </c>
      <c r="BN36" s="27">
        <v>1</v>
      </c>
      <c r="BO36" s="27">
        <v>1</v>
      </c>
      <c r="BP36" s="27">
        <v>1</v>
      </c>
      <c r="BQ36" s="27">
        <v>1</v>
      </c>
    </row>
    <row r="37" spans="1:80" x14ac:dyDescent="0.3">
      <c r="A37" s="6" t="s">
        <v>124</v>
      </c>
      <c r="B37" t="str" cm="1">
        <f t="array" aca="1" ref="B37" ca="1">CHOOSE(IF(MOD(-1*(DateTextValue(A37)-2),7)=0,7,MOD(-1*(DateTextValue(A37)-2),7)),"Sunday","Saturday","Friday","Thursday","Wednesday","Tuesday","Monday")</f>
        <v>Saturday</v>
      </c>
      <c r="C37" cm="1">
        <f t="array" aca="1" ref="C37" ca="1">DateTextValue(A37)-DateTextValue(A36)</f>
        <v>14</v>
      </c>
      <c r="D37" s="9" cm="1">
        <f t="array" aca="1" ref="D37" ca="1">DateTextValue(A37)-DateTextValue(A36)</f>
        <v>14</v>
      </c>
      <c r="E37" s="17" cm="1">
        <f t="array" aca="1" ref="E37" ca="1">DateTextValue(A37)-DateTextValue(A36)</f>
        <v>14</v>
      </c>
      <c r="F37" s="9" cm="1">
        <f t="array" aca="1" ref="F37" ca="1">DateTextValue(A37)-DateTextValue(A36)</f>
        <v>14</v>
      </c>
      <c r="G37" s="9" cm="1">
        <f t="array" aca="1" ref="G37" ca="1">DateTextValue(A37)-DateTextValue(A36)</f>
        <v>14</v>
      </c>
      <c r="H37" s="1">
        <v>0.60416666666666663</v>
      </c>
      <c r="I37" s="58">
        <v>20</v>
      </c>
      <c r="J37" s="58">
        <v>20</v>
      </c>
      <c r="K37" s="59" t="s">
        <v>7</v>
      </c>
      <c r="L37" s="59" t="s">
        <v>7</v>
      </c>
      <c r="M37">
        <v>40</v>
      </c>
      <c r="N37" t="s">
        <v>19</v>
      </c>
      <c r="O37" t="s">
        <v>950</v>
      </c>
      <c r="P37" s="7" t="s">
        <v>37</v>
      </c>
      <c r="Q37" t="s">
        <v>119</v>
      </c>
      <c r="R37" t="s">
        <v>120</v>
      </c>
      <c r="S37" t="s">
        <v>19</v>
      </c>
      <c r="T37" t="s">
        <v>978</v>
      </c>
      <c r="U37" t="s">
        <v>33</v>
      </c>
      <c r="V37">
        <v>0</v>
      </c>
      <c r="W37">
        <v>1</v>
      </c>
      <c r="X37">
        <v>0</v>
      </c>
      <c r="Y37">
        <v>0</v>
      </c>
      <c r="Z37">
        <v>3</v>
      </c>
      <c r="AA37">
        <v>0</v>
      </c>
      <c r="AB37" t="s">
        <v>7</v>
      </c>
      <c r="AC37" t="s">
        <v>7</v>
      </c>
      <c r="AD37" t="s">
        <v>45</v>
      </c>
      <c r="AE37" t="s">
        <v>43</v>
      </c>
      <c r="AF37" s="7" t="str">
        <f t="shared" si="4"/>
        <v>N</v>
      </c>
      <c r="AG37">
        <v>18</v>
      </c>
      <c r="AH37">
        <v>0</v>
      </c>
      <c r="AI37">
        <f t="shared" si="3"/>
        <v>18</v>
      </c>
      <c r="AJ37" t="s">
        <v>13</v>
      </c>
      <c r="AK37" s="50" t="s">
        <v>7</v>
      </c>
      <c r="AL37" s="49" t="s">
        <v>1013</v>
      </c>
      <c r="AM37" s="50" t="s">
        <v>7</v>
      </c>
      <c r="AN37" s="52" t="s">
        <v>1063</v>
      </c>
      <c r="AO37">
        <v>5000</v>
      </c>
      <c r="AR37" t="s">
        <v>26</v>
      </c>
      <c r="AT37" t="s">
        <v>23</v>
      </c>
      <c r="AU37" t="s">
        <v>23</v>
      </c>
      <c r="AV37" t="s">
        <v>222</v>
      </c>
      <c r="AW37" t="s">
        <v>222</v>
      </c>
      <c r="AX37" t="s">
        <v>222</v>
      </c>
      <c r="AY37" t="s">
        <v>222</v>
      </c>
      <c r="AZ37">
        <v>0</v>
      </c>
      <c r="BA37">
        <v>0</v>
      </c>
      <c r="BB37">
        <v>0</v>
      </c>
      <c r="BC37">
        <v>0</v>
      </c>
      <c r="BD37">
        <v>1</v>
      </c>
      <c r="BE37">
        <v>1</v>
      </c>
      <c r="BF37">
        <v>1</v>
      </c>
      <c r="BG37">
        <v>1</v>
      </c>
      <c r="BH37" s="25">
        <v>36</v>
      </c>
      <c r="BI37" s="25">
        <v>29</v>
      </c>
      <c r="BJ37" s="25">
        <v>27</v>
      </c>
      <c r="BK37" s="25">
        <v>25</v>
      </c>
      <c r="BL37" s="25">
        <v>24</v>
      </c>
      <c r="BM37" s="25">
        <v>2</v>
      </c>
      <c r="BN37" s="27">
        <v>2</v>
      </c>
      <c r="BO37" s="27">
        <v>2</v>
      </c>
      <c r="BP37" s="27">
        <v>2</v>
      </c>
      <c r="BQ37" s="27">
        <v>2</v>
      </c>
    </row>
    <row r="38" spans="1:80" x14ac:dyDescent="0.3">
      <c r="A38" s="6" t="s">
        <v>125</v>
      </c>
      <c r="B38" t="str" cm="1">
        <f t="array" aca="1" ref="B38" ca="1">CHOOSE(IF(MOD(-1*(DateTextValue(A38)-2),7)=0,7,MOD(-1*(DateTextValue(A38)-2),7)),"Sunday","Saturday","Friday","Thursday","Wednesday","Tuesday","Monday")</f>
        <v>Saturday</v>
      </c>
      <c r="C38" cm="1">
        <f t="array" aca="1" ref="C38" ca="1">DateTextValue(A38)-DateTextValue(A37)</f>
        <v>7</v>
      </c>
      <c r="D38" s="9" cm="1">
        <f t="array" aca="1" ref="D38" ca="1">DateTextValue(A38)-DateTextValue(A37)</f>
        <v>7</v>
      </c>
      <c r="E38" s="17" cm="1">
        <f t="array" aca="1" ref="E38" ca="1">DateTextValue(A38)-DateTextValue(A37)</f>
        <v>7</v>
      </c>
      <c r="F38" s="9" cm="1">
        <f t="array" aca="1" ref="F38" ca="1">DateTextValue(A38)-DateTextValue(A37)</f>
        <v>7</v>
      </c>
      <c r="G38" s="9" cm="1">
        <f t="array" aca="1" ref="G38" ca="1">DateTextValue(A38)-DateTextValue(A37)</f>
        <v>7</v>
      </c>
      <c r="H38" s="1">
        <v>0.58333333333333337</v>
      </c>
      <c r="I38" s="58">
        <v>20</v>
      </c>
      <c r="J38" s="58">
        <v>20</v>
      </c>
      <c r="K38" s="59" t="s">
        <v>7</v>
      </c>
      <c r="L38" s="59" t="s">
        <v>7</v>
      </c>
      <c r="M38">
        <v>40</v>
      </c>
      <c r="N38" t="s">
        <v>19</v>
      </c>
      <c r="O38" t="s">
        <v>950</v>
      </c>
      <c r="P38" s="7" t="s">
        <v>37</v>
      </c>
      <c r="Q38" t="s">
        <v>65</v>
      </c>
      <c r="R38" t="s">
        <v>46</v>
      </c>
      <c r="S38" t="s">
        <v>140</v>
      </c>
      <c r="T38" t="s">
        <v>971</v>
      </c>
      <c r="U38" t="s">
        <v>23</v>
      </c>
      <c r="V38">
        <v>5</v>
      </c>
      <c r="W38">
        <v>0</v>
      </c>
      <c r="X38">
        <v>0</v>
      </c>
      <c r="Y38">
        <v>7</v>
      </c>
      <c r="Z38">
        <v>3</v>
      </c>
      <c r="AA38">
        <v>1</v>
      </c>
      <c r="AB38" t="s">
        <v>7</v>
      </c>
      <c r="AC38" t="s">
        <v>7</v>
      </c>
      <c r="AD38" t="s">
        <v>45</v>
      </c>
      <c r="AE38" t="s">
        <v>43</v>
      </c>
      <c r="AF38" s="7" t="str">
        <f t="shared" si="4"/>
        <v>N</v>
      </c>
      <c r="AG38">
        <v>11</v>
      </c>
      <c r="AH38">
        <v>11</v>
      </c>
      <c r="AI38">
        <f t="shared" si="3"/>
        <v>0</v>
      </c>
      <c r="AJ38" t="s">
        <v>91</v>
      </c>
      <c r="AK38" s="50" t="s">
        <v>7</v>
      </c>
      <c r="AL38" s="49" t="s">
        <v>1033</v>
      </c>
      <c r="AM38" s="50" t="s">
        <v>7</v>
      </c>
      <c r="AN38" s="52" t="s">
        <v>1064</v>
      </c>
      <c r="AO38">
        <v>500</v>
      </c>
      <c r="AS38" s="22" t="s">
        <v>187</v>
      </c>
      <c r="AT38" t="s">
        <v>23</v>
      </c>
      <c r="AU38" t="s">
        <v>23</v>
      </c>
      <c r="AV38" t="s">
        <v>221</v>
      </c>
      <c r="AW38" t="s">
        <v>221</v>
      </c>
      <c r="AX38" t="s">
        <v>221</v>
      </c>
      <c r="AY38" t="s">
        <v>221</v>
      </c>
      <c r="AZ38">
        <v>1</v>
      </c>
      <c r="BA38">
        <v>1</v>
      </c>
      <c r="BB38">
        <v>1</v>
      </c>
      <c r="BC38">
        <v>1</v>
      </c>
      <c r="BD38">
        <v>0</v>
      </c>
      <c r="BE38">
        <v>0</v>
      </c>
      <c r="BF38">
        <v>0</v>
      </c>
      <c r="BG38">
        <v>0</v>
      </c>
      <c r="BH38" s="25">
        <v>37</v>
      </c>
      <c r="BI38" s="25">
        <v>30</v>
      </c>
      <c r="BJ38" s="25">
        <v>28</v>
      </c>
      <c r="BK38" s="25">
        <v>26</v>
      </c>
      <c r="BL38" s="25">
        <v>25</v>
      </c>
      <c r="BM38" s="25">
        <v>3</v>
      </c>
      <c r="BN38" s="27">
        <v>3</v>
      </c>
      <c r="BO38" s="27">
        <v>3</v>
      </c>
      <c r="BP38" s="27">
        <v>3</v>
      </c>
      <c r="BQ38" s="27">
        <v>3</v>
      </c>
    </row>
    <row r="39" spans="1:80" x14ac:dyDescent="0.3">
      <c r="A39" s="6" t="s">
        <v>126</v>
      </c>
      <c r="B39" t="str" cm="1">
        <f t="array" aca="1" ref="B39" ca="1">CHOOSE(IF(MOD(-1*(DateTextValue(A39)-2),7)=0,7,MOD(-1*(DateTextValue(A39)-2),7)),"Sunday","Saturday","Friday","Thursday","Wednesday","Tuesday","Monday")</f>
        <v>Wednesday</v>
      </c>
      <c r="C39" cm="1">
        <f t="array" aca="1" ref="C39" ca="1">DateTextValue(A39)-DateTextValue(A38)</f>
        <v>4</v>
      </c>
      <c r="D39" s="13" cm="1">
        <f t="array" aca="1" ref="D39" ca="1">DateTextValue(A39)-DateTextValue(A38)</f>
        <v>4</v>
      </c>
      <c r="E39" s="17" cm="1">
        <f t="array" aca="1" ref="E39" ca="1">DateTextValue(A39)-DateTextValue(A38)</f>
        <v>4</v>
      </c>
      <c r="F39" s="9" cm="1">
        <f t="array" aca="1" ref="F39" ca="1">DateTextValue(A39)-DateTextValue(A38)</f>
        <v>4</v>
      </c>
      <c r="G39" s="9" cm="1">
        <f t="array" aca="1" ref="G39" ca="1">DateTextValue(A39)-DateTextValue(A38)</f>
        <v>4</v>
      </c>
      <c r="I39" s="58" t="s">
        <v>7</v>
      </c>
      <c r="J39" s="58" t="s">
        <v>7</v>
      </c>
      <c r="K39" s="59" t="s">
        <v>7</v>
      </c>
      <c r="L39" s="59" t="s">
        <v>7</v>
      </c>
      <c r="M39" t="s">
        <v>7</v>
      </c>
      <c r="N39" t="s">
        <v>19</v>
      </c>
      <c r="O39" t="s">
        <v>950</v>
      </c>
      <c r="P39" s="7" t="s">
        <v>37</v>
      </c>
      <c r="Q39" t="s">
        <v>128</v>
      </c>
      <c r="R39" t="s">
        <v>127</v>
      </c>
      <c r="S39" t="s">
        <v>19</v>
      </c>
      <c r="T39" t="s">
        <v>973</v>
      </c>
      <c r="U39" t="s">
        <v>23</v>
      </c>
      <c r="V39">
        <v>2</v>
      </c>
      <c r="W39">
        <v>1</v>
      </c>
      <c r="X39">
        <v>0</v>
      </c>
      <c r="Y39">
        <v>3</v>
      </c>
      <c r="Z39">
        <v>5</v>
      </c>
      <c r="AA39">
        <v>1</v>
      </c>
      <c r="AB39" t="s">
        <v>7</v>
      </c>
      <c r="AC39" t="s">
        <v>7</v>
      </c>
      <c r="AD39" t="s">
        <v>45</v>
      </c>
      <c r="AE39" t="s">
        <v>43</v>
      </c>
      <c r="AF39" s="7" t="str">
        <f t="shared" si="4"/>
        <v>N</v>
      </c>
      <c r="AG39" t="s">
        <v>7</v>
      </c>
      <c r="AH39" t="s">
        <v>7</v>
      </c>
      <c r="AI39" t="s">
        <v>7</v>
      </c>
      <c r="AJ39" t="s">
        <v>7</v>
      </c>
      <c r="AK39" s="50" t="s">
        <v>7</v>
      </c>
      <c r="AL39" s="49" t="s">
        <v>7</v>
      </c>
      <c r="AM39" s="50" t="s">
        <v>7</v>
      </c>
      <c r="AN39" s="49" t="s">
        <v>7</v>
      </c>
      <c r="AO39" t="s">
        <v>7</v>
      </c>
      <c r="AS39" t="s">
        <v>129</v>
      </c>
      <c r="AT39" s="26" t="s">
        <v>28</v>
      </c>
      <c r="AU39" t="s">
        <v>28</v>
      </c>
      <c r="BH39" s="25">
        <v>38</v>
      </c>
      <c r="BM39" s="25">
        <v>4</v>
      </c>
    </row>
    <row r="40" spans="1:80" x14ac:dyDescent="0.3">
      <c r="A40" s="6" t="s">
        <v>130</v>
      </c>
      <c r="B40" t="str" cm="1">
        <f t="array" aca="1" ref="B40" ca="1">CHOOSE(IF(MOD(-1*(DateTextValue(A40)-2),7)=0,7,MOD(-1*(DateTextValue(A40)-2),7)),"Sunday","Saturday","Friday","Thursday","Wednesday","Tuesday","Monday")</f>
        <v>Friday</v>
      </c>
      <c r="C40" cm="1">
        <f t="array" aca="1" ref="C40" ca="1">DateTextValue(A40)-DateTextValue(A39)</f>
        <v>9</v>
      </c>
      <c r="D40" s="14" cm="1">
        <f t="array" aca="1" ref="D40" ca="1">DateTextValue(A40)-DateTextValue(A38)</f>
        <v>13</v>
      </c>
      <c r="E40" s="17" cm="1">
        <f t="array" aca="1" ref="E40" ca="1">DateTextValue(A40)-DateTextValue(A38)</f>
        <v>13</v>
      </c>
      <c r="F40" s="9" cm="1">
        <f t="array" aca="1" ref="F40" ca="1">DateTextValue(A40)-DateTextValue(A38)</f>
        <v>13</v>
      </c>
      <c r="G40" s="9" cm="1">
        <f t="array" aca="1" ref="G40" ca="1">DateTextValue(A40)-DateTextValue(A38)</f>
        <v>13</v>
      </c>
      <c r="H40" s="1">
        <v>0.66666666666666663</v>
      </c>
      <c r="I40" s="61" t="s">
        <v>1151</v>
      </c>
      <c r="J40" s="61" t="s">
        <v>1151</v>
      </c>
      <c r="K40" s="59" t="s">
        <v>7</v>
      </c>
      <c r="L40" s="59" t="s">
        <v>7</v>
      </c>
      <c r="M40" s="64" t="s">
        <v>1152</v>
      </c>
      <c r="N40" t="s">
        <v>19</v>
      </c>
      <c r="O40" t="s">
        <v>950</v>
      </c>
      <c r="P40" s="7" t="s">
        <v>37</v>
      </c>
      <c r="Q40" t="s">
        <v>103</v>
      </c>
      <c r="R40" t="s">
        <v>58</v>
      </c>
      <c r="S40" t="s">
        <v>19</v>
      </c>
      <c r="T40" t="s">
        <v>974</v>
      </c>
      <c r="U40" t="s">
        <v>23</v>
      </c>
      <c r="V40">
        <v>1</v>
      </c>
      <c r="W40">
        <v>1</v>
      </c>
      <c r="X40">
        <v>0</v>
      </c>
      <c r="Y40">
        <v>2</v>
      </c>
      <c r="Z40">
        <v>1</v>
      </c>
      <c r="AA40">
        <v>1</v>
      </c>
      <c r="AB40" t="s">
        <v>7</v>
      </c>
      <c r="AC40" t="s">
        <v>7</v>
      </c>
      <c r="AD40" t="s">
        <v>45</v>
      </c>
      <c r="AE40" t="s">
        <v>43</v>
      </c>
      <c r="AF40" s="7" t="str">
        <f t="shared" si="4"/>
        <v>N</v>
      </c>
      <c r="AG40">
        <v>0</v>
      </c>
      <c r="AH40">
        <v>0</v>
      </c>
      <c r="AI40">
        <v>0</v>
      </c>
      <c r="AJ40" t="s">
        <v>91</v>
      </c>
      <c r="AK40" s="50" t="s">
        <v>7</v>
      </c>
      <c r="AL40" s="49" t="s">
        <v>253</v>
      </c>
      <c r="AM40" s="50" t="s">
        <v>7</v>
      </c>
      <c r="AN40" s="52" t="s">
        <v>1034</v>
      </c>
      <c r="AT40" t="s">
        <v>23</v>
      </c>
      <c r="AU40" t="s">
        <v>23</v>
      </c>
      <c r="AV40" t="s">
        <v>237</v>
      </c>
      <c r="AW40" t="s">
        <v>237</v>
      </c>
      <c r="AX40" t="s">
        <v>237</v>
      </c>
      <c r="AY40" t="s">
        <v>237</v>
      </c>
      <c r="AZ40">
        <v>2</v>
      </c>
      <c r="BA40">
        <v>2</v>
      </c>
      <c r="BB40">
        <v>2</v>
      </c>
      <c r="BC40">
        <v>2</v>
      </c>
      <c r="BD40">
        <v>1</v>
      </c>
      <c r="BE40">
        <v>1</v>
      </c>
      <c r="BF40">
        <v>1</v>
      </c>
      <c r="BG40">
        <v>1</v>
      </c>
      <c r="BH40" s="25">
        <v>39</v>
      </c>
      <c r="BI40" s="25">
        <v>31</v>
      </c>
      <c r="BJ40" s="25">
        <v>29</v>
      </c>
      <c r="BK40" s="25">
        <v>27</v>
      </c>
      <c r="BL40" s="25">
        <v>26</v>
      </c>
      <c r="BM40" s="25">
        <v>5</v>
      </c>
      <c r="BN40" s="27">
        <v>4</v>
      </c>
      <c r="BO40" s="27">
        <v>4</v>
      </c>
      <c r="BP40" s="27">
        <v>4</v>
      </c>
      <c r="BQ40" s="27">
        <v>4</v>
      </c>
    </row>
    <row r="41" spans="1:80" x14ac:dyDescent="0.3">
      <c r="A41" s="6" t="s">
        <v>131</v>
      </c>
      <c r="B41" t="str" cm="1">
        <f t="array" aca="1" ref="B41" ca="1">CHOOSE(IF(MOD(-1*(DateTextValue(A41)-2),7)=0,7,MOD(-1*(DateTextValue(A41)-2),7)),"Sunday","Saturday","Friday","Thursday","Wednesday","Tuesday","Monday")</f>
        <v>Friday</v>
      </c>
      <c r="C41" cm="1">
        <f t="array" aca="1" ref="C41" ca="1">DateTextValue(A41)-DateTextValue(A40)</f>
        <v>7</v>
      </c>
      <c r="D41" s="9" cm="1">
        <f t="array" aca="1" ref="D41" ca="1">DateTextValue(A41)-DateTextValue(A40)</f>
        <v>7</v>
      </c>
      <c r="E41" s="17" cm="1">
        <f t="array" aca="1" ref="E41" ca="1">DateTextValue(A41)-DateTextValue(A40)</f>
        <v>7</v>
      </c>
      <c r="F41" s="9" cm="1">
        <f t="array" aca="1" ref="F41" ca="1">DateTextValue(A41)-DateTextValue(A40)</f>
        <v>7</v>
      </c>
      <c r="G41" s="9" cm="1">
        <f t="array" aca="1" ref="G41" ca="1">DateTextValue(A41)-DateTextValue(A40)</f>
        <v>7</v>
      </c>
      <c r="H41" s="1">
        <v>0.64583333333333337</v>
      </c>
      <c r="I41" s="58">
        <v>25</v>
      </c>
      <c r="J41" s="58">
        <v>25</v>
      </c>
      <c r="K41" s="59" t="s">
        <v>7</v>
      </c>
      <c r="L41" s="59" t="s">
        <v>7</v>
      </c>
      <c r="M41">
        <v>50</v>
      </c>
      <c r="N41" t="s">
        <v>19</v>
      </c>
      <c r="O41" t="s">
        <v>950</v>
      </c>
      <c r="P41" s="7" t="s">
        <v>28</v>
      </c>
      <c r="Q41" t="s">
        <v>112</v>
      </c>
      <c r="R41" t="s">
        <v>113</v>
      </c>
      <c r="S41" t="s">
        <v>19</v>
      </c>
      <c r="T41" s="38" t="s">
        <v>961</v>
      </c>
      <c r="U41" t="s">
        <v>23</v>
      </c>
      <c r="V41">
        <v>0</v>
      </c>
      <c r="W41">
        <v>3</v>
      </c>
      <c r="X41">
        <v>0</v>
      </c>
      <c r="Y41">
        <v>1</v>
      </c>
      <c r="Z41">
        <v>3</v>
      </c>
      <c r="AA41">
        <v>1</v>
      </c>
      <c r="AB41" t="s">
        <v>7</v>
      </c>
      <c r="AC41" t="s">
        <v>7</v>
      </c>
      <c r="AD41" t="s">
        <v>101</v>
      </c>
      <c r="AE41" t="s">
        <v>100</v>
      </c>
      <c r="AF41" s="7" t="str">
        <f t="shared" si="4"/>
        <v>N</v>
      </c>
      <c r="AG41">
        <v>0</v>
      </c>
      <c r="AH41">
        <v>0</v>
      </c>
      <c r="AI41">
        <v>0</v>
      </c>
      <c r="AJ41" t="s">
        <v>91</v>
      </c>
      <c r="AK41" s="50" t="s">
        <v>7</v>
      </c>
      <c r="AL41" s="49" t="s">
        <v>253</v>
      </c>
      <c r="AM41" s="50" t="s">
        <v>7</v>
      </c>
      <c r="AN41" s="52" t="s">
        <v>1034</v>
      </c>
      <c r="AT41" t="s">
        <v>23</v>
      </c>
      <c r="AU41" t="s">
        <v>23</v>
      </c>
      <c r="AV41" t="s">
        <v>247</v>
      </c>
      <c r="AW41" t="s">
        <v>247</v>
      </c>
      <c r="AX41" t="s">
        <v>247</v>
      </c>
      <c r="AY41" t="s">
        <v>247</v>
      </c>
      <c r="AZ41">
        <v>3</v>
      </c>
      <c r="BA41">
        <v>3</v>
      </c>
      <c r="BB41">
        <v>3</v>
      </c>
      <c r="BC41">
        <v>3</v>
      </c>
      <c r="BD41">
        <v>2</v>
      </c>
      <c r="BE41">
        <v>2</v>
      </c>
      <c r="BF41">
        <v>2</v>
      </c>
      <c r="BG41">
        <v>2</v>
      </c>
      <c r="BH41" s="25">
        <v>40</v>
      </c>
      <c r="BI41" s="25">
        <v>32</v>
      </c>
      <c r="BJ41" s="25">
        <v>30</v>
      </c>
      <c r="BK41" s="25">
        <v>28</v>
      </c>
      <c r="BL41" s="25">
        <v>27</v>
      </c>
      <c r="BM41" s="25">
        <v>6</v>
      </c>
      <c r="BN41" s="27">
        <v>5</v>
      </c>
      <c r="BO41" s="27">
        <v>5</v>
      </c>
      <c r="BP41" s="27">
        <v>5</v>
      </c>
      <c r="BQ41" s="27">
        <v>5</v>
      </c>
    </row>
    <row r="42" spans="1:80" x14ac:dyDescent="0.3">
      <c r="A42" s="6" t="s">
        <v>132</v>
      </c>
      <c r="B42" t="str" cm="1">
        <f t="array" aca="1" ref="B42" ca="1">CHOOSE(IF(MOD(-1*(DateTextValue(A42)-2),7)=0,7,MOD(-1*(DateTextValue(A42)-2),7)),"Sunday","Saturday","Friday","Thursday","Wednesday","Tuesday","Monday")</f>
        <v>Saturday</v>
      </c>
      <c r="C42" cm="1">
        <f t="array" aca="1" ref="C42" ca="1">DateTextValue(A42)-DateTextValue(A41)</f>
        <v>1</v>
      </c>
      <c r="D42" s="9" cm="1">
        <f t="array" aca="1" ref="D42" ca="1">DateTextValue(A42)-DateTextValue(A41)</f>
        <v>1</v>
      </c>
      <c r="E42" s="17" cm="1">
        <f t="array" aca="1" ref="E42" ca="1">DateTextValue(A42)-DateTextValue(A41)</f>
        <v>1</v>
      </c>
      <c r="F42" s="9" cm="1">
        <f t="array" aca="1" ref="F42" ca="1">DateTextValue(A42)-DateTextValue(A41)</f>
        <v>1</v>
      </c>
      <c r="G42" s="9" cm="1">
        <f t="array" aca="1" ref="G42" ca="1">DateTextValue(A42)-DateTextValue(A41)</f>
        <v>1</v>
      </c>
      <c r="I42" s="58">
        <v>25</v>
      </c>
      <c r="J42" s="58">
        <v>15</v>
      </c>
      <c r="K42" s="59" t="s">
        <v>7</v>
      </c>
      <c r="L42" s="59" t="s">
        <v>7</v>
      </c>
      <c r="M42">
        <v>40</v>
      </c>
      <c r="N42" t="s">
        <v>19</v>
      </c>
      <c r="O42" t="s">
        <v>950</v>
      </c>
      <c r="P42" s="7" t="s">
        <v>28</v>
      </c>
      <c r="Q42" t="s">
        <v>133</v>
      </c>
      <c r="R42" t="s">
        <v>134</v>
      </c>
      <c r="S42" t="s">
        <v>140</v>
      </c>
      <c r="T42" t="s">
        <v>975</v>
      </c>
      <c r="U42" t="s">
        <v>23</v>
      </c>
      <c r="V42">
        <v>2</v>
      </c>
      <c r="W42">
        <v>2</v>
      </c>
      <c r="X42">
        <v>0</v>
      </c>
      <c r="Y42">
        <v>4</v>
      </c>
      <c r="Z42">
        <v>2</v>
      </c>
      <c r="AA42">
        <v>0</v>
      </c>
      <c r="AB42" t="s">
        <v>7</v>
      </c>
      <c r="AC42" t="s">
        <v>7</v>
      </c>
      <c r="AD42" t="s">
        <v>135</v>
      </c>
      <c r="AE42" t="s">
        <v>136</v>
      </c>
      <c r="AF42" s="7" t="str">
        <f t="shared" si="4"/>
        <v>N</v>
      </c>
      <c r="AG42">
        <v>0</v>
      </c>
      <c r="AH42">
        <v>24</v>
      </c>
      <c r="AI42">
        <f>AG42-AH42</f>
        <v>-24</v>
      </c>
      <c r="AJ42" t="s">
        <v>47</v>
      </c>
      <c r="AK42" s="50" t="s">
        <v>7</v>
      </c>
      <c r="AL42" s="49" t="s">
        <v>1026</v>
      </c>
      <c r="AM42" s="50" t="s">
        <v>7</v>
      </c>
      <c r="AN42" s="52" t="s">
        <v>1065</v>
      </c>
      <c r="AS42" t="s">
        <v>89</v>
      </c>
      <c r="AT42" t="s">
        <v>23</v>
      </c>
      <c r="AU42" t="s">
        <v>23</v>
      </c>
      <c r="AV42" t="s">
        <v>229</v>
      </c>
      <c r="AW42" t="s">
        <v>229</v>
      </c>
      <c r="AX42" t="s">
        <v>229</v>
      </c>
      <c r="AY42" t="s">
        <v>229</v>
      </c>
      <c r="AZ42">
        <v>4</v>
      </c>
      <c r="BA42">
        <v>4</v>
      </c>
      <c r="BB42">
        <v>4</v>
      </c>
      <c r="BC42">
        <v>4</v>
      </c>
      <c r="BD42">
        <v>3</v>
      </c>
      <c r="BE42">
        <v>3</v>
      </c>
      <c r="BF42">
        <v>3</v>
      </c>
      <c r="BG42">
        <v>3</v>
      </c>
      <c r="BH42" s="25">
        <v>41</v>
      </c>
      <c r="BI42" s="25">
        <v>33</v>
      </c>
      <c r="BJ42" s="25">
        <v>31</v>
      </c>
      <c r="BK42" s="25">
        <v>29</v>
      </c>
      <c r="BL42" s="25">
        <v>28</v>
      </c>
      <c r="BM42" s="25">
        <v>7</v>
      </c>
      <c r="BN42" s="27">
        <v>6</v>
      </c>
      <c r="BO42" s="27">
        <v>6</v>
      </c>
      <c r="BP42" s="27">
        <v>6</v>
      </c>
      <c r="BQ42" s="27">
        <v>6</v>
      </c>
    </row>
    <row r="43" spans="1:80" x14ac:dyDescent="0.3">
      <c r="A43" s="6" t="s">
        <v>137</v>
      </c>
      <c r="B43" t="str" cm="1">
        <f t="array" aca="1" ref="B43" ca="1">CHOOSE(IF(MOD(-1*(DateTextValue(A43)-2),7)=0,7,MOD(-1*(DateTextValue(A43)-2),7)),"Sunday","Saturday","Friday","Thursday","Wednesday","Tuesday","Monday")</f>
        <v>Thursday</v>
      </c>
      <c r="C43" cm="1">
        <f t="array" aca="1" ref="C43" ca="1">DateTextValue(A43)-DateTextValue(A42)</f>
        <v>12</v>
      </c>
      <c r="D43" s="9" cm="1">
        <f t="array" aca="1" ref="D43" ca="1">DateTextValue(A43)-DateTextValue(A42)</f>
        <v>12</v>
      </c>
      <c r="E43" s="17" cm="1">
        <f t="array" aca="1" ref="E43" ca="1">DateTextValue(A43)-DateTextValue(A42)</f>
        <v>12</v>
      </c>
      <c r="F43" s="9" cm="1">
        <f t="array" aca="1" ref="F43" ca="1">DateTextValue(A43)-DateTextValue(A42)</f>
        <v>12</v>
      </c>
      <c r="G43" s="9" cm="1">
        <f t="array" aca="1" ref="G43" ca="1">DateTextValue(A43)-DateTextValue(A42)</f>
        <v>12</v>
      </c>
      <c r="H43" s="1">
        <v>0.65972222222222221</v>
      </c>
      <c r="K43" s="59" t="s">
        <v>7</v>
      </c>
      <c r="L43" s="59" t="s">
        <v>7</v>
      </c>
      <c r="N43" t="s">
        <v>19</v>
      </c>
      <c r="O43" t="s">
        <v>950</v>
      </c>
      <c r="P43" s="7" t="s">
        <v>37</v>
      </c>
      <c r="Q43" t="s">
        <v>55</v>
      </c>
      <c r="R43" t="s">
        <v>56</v>
      </c>
      <c r="S43" t="s">
        <v>19</v>
      </c>
      <c r="T43" t="s">
        <v>976</v>
      </c>
      <c r="U43" t="s">
        <v>33</v>
      </c>
      <c r="V43">
        <v>1</v>
      </c>
      <c r="W43">
        <v>1</v>
      </c>
      <c r="X43">
        <v>0</v>
      </c>
      <c r="Y43">
        <v>2</v>
      </c>
      <c r="Z43">
        <v>1</v>
      </c>
      <c r="AA43">
        <v>0</v>
      </c>
      <c r="AB43" t="s">
        <v>7</v>
      </c>
      <c r="AC43" t="s">
        <v>7</v>
      </c>
      <c r="AD43" t="s">
        <v>45</v>
      </c>
      <c r="AE43" t="s">
        <v>43</v>
      </c>
      <c r="AF43" s="7" t="str">
        <f t="shared" si="4"/>
        <v>N</v>
      </c>
      <c r="AG43">
        <v>0</v>
      </c>
      <c r="AH43">
        <v>10</v>
      </c>
      <c r="AI43">
        <f>AG43-AH43</f>
        <v>-10</v>
      </c>
      <c r="AJ43" t="s">
        <v>47</v>
      </c>
      <c r="AK43" s="50" t="s">
        <v>7</v>
      </c>
      <c r="AL43" s="49" t="s">
        <v>623</v>
      </c>
      <c r="AM43" s="50" t="s">
        <v>7</v>
      </c>
      <c r="AN43" s="52" t="s">
        <v>1066</v>
      </c>
      <c r="AO43">
        <f>(800+1000)/2</f>
        <v>900</v>
      </c>
      <c r="AP43" s="60">
        <v>800</v>
      </c>
      <c r="AQ43" s="60">
        <v>1000</v>
      </c>
      <c r="AR43" t="s">
        <v>59</v>
      </c>
      <c r="AS43" t="s">
        <v>88</v>
      </c>
      <c r="AT43" t="s">
        <v>23</v>
      </c>
      <c r="AU43" t="s">
        <v>23</v>
      </c>
      <c r="AV43" t="s">
        <v>222</v>
      </c>
      <c r="AW43" t="s">
        <v>222</v>
      </c>
      <c r="AX43" t="s">
        <v>222</v>
      </c>
      <c r="AY43" t="s">
        <v>222</v>
      </c>
      <c r="AZ43">
        <v>0</v>
      </c>
      <c r="BA43">
        <v>0</v>
      </c>
      <c r="BB43">
        <v>0</v>
      </c>
      <c r="BC43">
        <v>0</v>
      </c>
      <c r="BD43">
        <v>4</v>
      </c>
      <c r="BE43">
        <v>4</v>
      </c>
      <c r="BF43">
        <v>4</v>
      </c>
      <c r="BG43">
        <v>4</v>
      </c>
      <c r="BH43" s="25">
        <v>42</v>
      </c>
      <c r="BI43" s="25">
        <v>34</v>
      </c>
      <c r="BJ43" s="25">
        <v>32</v>
      </c>
      <c r="BK43" s="25">
        <v>30</v>
      </c>
      <c r="BL43" s="25">
        <v>29</v>
      </c>
      <c r="BM43" s="25">
        <v>8</v>
      </c>
      <c r="BN43" s="27">
        <v>7</v>
      </c>
      <c r="BO43" s="27">
        <v>7</v>
      </c>
      <c r="BP43" s="27">
        <v>7</v>
      </c>
      <c r="BQ43" s="27">
        <v>7</v>
      </c>
      <c r="BR43" s="27" t="s">
        <v>23</v>
      </c>
      <c r="BS43" s="27" t="s">
        <v>23</v>
      </c>
      <c r="BT43" s="71" t="s">
        <v>23</v>
      </c>
      <c r="BU43" s="27" t="s">
        <v>23</v>
      </c>
      <c r="BV43" s="27"/>
      <c r="BW43" s="27"/>
      <c r="BY43" s="71" t="s">
        <v>23</v>
      </c>
      <c r="BZ43" s="7" t="s">
        <v>23</v>
      </c>
      <c r="CA43" s="7" t="s">
        <v>23</v>
      </c>
      <c r="CB43" s="7" t="s">
        <v>23</v>
      </c>
    </row>
    <row r="44" spans="1:80" x14ac:dyDescent="0.3">
      <c r="A44" s="6">
        <v>279</v>
      </c>
      <c r="B44" t="str">
        <f t="shared" ref="B44:B107" si="5">CHOOSE(WEEKDAY(A44),"Sunday","Monday","Tuesday","Wednesday","Thursday","Friday","Saturday")</f>
        <v>Friday</v>
      </c>
      <c r="C44" cm="1">
        <f t="array" aca="1" ref="C44" ca="1">DateTextValue(A44)-DateTextValue(A43)</f>
        <v>309</v>
      </c>
      <c r="D44" s="13" cm="1">
        <f t="array" aca="1" ref="D44" ca="1">DateTextValue(A44)-DateTextValue(A43)</f>
        <v>309</v>
      </c>
      <c r="E44" s="17" cm="1">
        <f t="array" aca="1" ref="E44" ca="1">DateTextValue(A44)-DateTextValue(A43)</f>
        <v>309</v>
      </c>
      <c r="F44" s="9" cm="1">
        <f t="array" aca="1" ref="F44" ca="1">DateTextValue(A44)-DateTextValue(A43)</f>
        <v>309</v>
      </c>
      <c r="G44" s="9" cm="1">
        <f t="array" aca="1" ref="G44" ca="1">DateTextValue(A44)-DateTextValue(A43)</f>
        <v>309</v>
      </c>
      <c r="H44" s="1">
        <v>0.67708333333333337</v>
      </c>
      <c r="I44" s="58" t="s">
        <v>7</v>
      </c>
      <c r="J44" s="58" t="s">
        <v>7</v>
      </c>
      <c r="K44" s="59" t="s">
        <v>7</v>
      </c>
      <c r="L44" s="59" t="s">
        <v>7</v>
      </c>
      <c r="M44" t="s">
        <v>7</v>
      </c>
      <c r="N44" t="s">
        <v>138</v>
      </c>
      <c r="O44" t="s">
        <v>951</v>
      </c>
      <c r="P44" s="7" t="s">
        <v>37</v>
      </c>
      <c r="Q44" t="s">
        <v>119</v>
      </c>
      <c r="R44" t="s">
        <v>120</v>
      </c>
      <c r="S44" t="s">
        <v>138</v>
      </c>
      <c r="T44" t="s">
        <v>978</v>
      </c>
      <c r="U44" t="s">
        <v>33</v>
      </c>
      <c r="V44">
        <v>0</v>
      </c>
      <c r="W44">
        <v>0</v>
      </c>
      <c r="X44">
        <v>0</v>
      </c>
      <c r="Y44">
        <v>1</v>
      </c>
      <c r="Z44">
        <v>2</v>
      </c>
      <c r="AA44">
        <v>1</v>
      </c>
      <c r="AB44" t="s">
        <v>7</v>
      </c>
      <c r="AC44" t="s">
        <v>7</v>
      </c>
      <c r="AD44" t="s">
        <v>45</v>
      </c>
      <c r="AE44" t="s">
        <v>43</v>
      </c>
      <c r="AF44" s="7" t="str">
        <f t="shared" si="4"/>
        <v>Y</v>
      </c>
      <c r="AG44" t="s">
        <v>7</v>
      </c>
      <c r="AH44" t="s">
        <v>7</v>
      </c>
      <c r="AI44" t="s">
        <v>7</v>
      </c>
      <c r="AJ44" t="s">
        <v>7</v>
      </c>
      <c r="AK44" s="50" t="s">
        <v>7</v>
      </c>
      <c r="AL44" s="49" t="s">
        <v>7</v>
      </c>
      <c r="AM44" s="50" t="s">
        <v>7</v>
      </c>
      <c r="AN44" s="49" t="s">
        <v>7</v>
      </c>
      <c r="AO44" t="s">
        <v>7</v>
      </c>
      <c r="AS44" t="s">
        <v>139</v>
      </c>
      <c r="AT44" s="26" t="s">
        <v>28</v>
      </c>
      <c r="AU44" t="s">
        <v>28</v>
      </c>
      <c r="BH44" s="25">
        <v>43</v>
      </c>
      <c r="BM44" s="25">
        <v>1</v>
      </c>
    </row>
    <row r="45" spans="1:80" x14ac:dyDescent="0.3">
      <c r="A45" s="6">
        <v>280</v>
      </c>
      <c r="B45" t="str">
        <f t="shared" si="5"/>
        <v>Saturday</v>
      </c>
      <c r="C45">
        <f>A45-A44</f>
        <v>1</v>
      </c>
      <c r="D45" s="14" cm="1">
        <f t="array" aca="1" ref="D45" ca="1">DateTextValue(A45)-DateTextValue(A43)</f>
        <v>310</v>
      </c>
      <c r="E45" s="17" cm="1">
        <f t="array" aca="1" ref="E45" ca="1">DateTextValue(A45)-DateTextValue(A43)</f>
        <v>310</v>
      </c>
      <c r="F45" s="9" cm="1">
        <f t="array" aca="1" ref="F45" ca="1">DateTextValue(A45)-DateTextValue(A43)</f>
        <v>310</v>
      </c>
      <c r="G45" s="9" cm="1">
        <f t="array" aca="1" ref="G45" ca="1">DateTextValue(A45)-DateTextValue(A43)</f>
        <v>310</v>
      </c>
      <c r="I45" s="58" t="s">
        <v>7</v>
      </c>
      <c r="J45" s="58" t="s">
        <v>7</v>
      </c>
      <c r="K45" s="59" t="s">
        <v>7</v>
      </c>
      <c r="L45" s="59" t="s">
        <v>7</v>
      </c>
      <c r="M45" t="s">
        <v>7</v>
      </c>
      <c r="N45" t="s">
        <v>138</v>
      </c>
      <c r="O45" t="s">
        <v>951</v>
      </c>
      <c r="P45" s="7" t="s">
        <v>38</v>
      </c>
      <c r="Q45" t="s">
        <v>65</v>
      </c>
      <c r="R45" t="s">
        <v>46</v>
      </c>
      <c r="S45" t="s">
        <v>140</v>
      </c>
      <c r="T45" t="s">
        <v>971</v>
      </c>
      <c r="U45" t="s">
        <v>23</v>
      </c>
      <c r="V45">
        <v>0</v>
      </c>
      <c r="W45">
        <v>0</v>
      </c>
      <c r="X45">
        <v>0</v>
      </c>
      <c r="Y45">
        <v>4</v>
      </c>
      <c r="Z45">
        <v>1</v>
      </c>
      <c r="AA45">
        <v>3</v>
      </c>
      <c r="AB45" t="s">
        <v>7</v>
      </c>
      <c r="AC45" t="s">
        <v>7</v>
      </c>
      <c r="AD45" t="s">
        <v>929</v>
      </c>
      <c r="AE45" t="s">
        <v>46</v>
      </c>
      <c r="AF45" s="7" t="str">
        <f t="shared" si="4"/>
        <v>N</v>
      </c>
      <c r="AG45" t="s">
        <v>7</v>
      </c>
      <c r="AH45" t="s">
        <v>7</v>
      </c>
      <c r="AI45" t="s">
        <v>7</v>
      </c>
      <c r="AJ45" t="s">
        <v>7</v>
      </c>
      <c r="AK45" s="50" t="s">
        <v>7</v>
      </c>
      <c r="AL45" s="49" t="s">
        <v>7</v>
      </c>
      <c r="AM45" s="50" t="s">
        <v>7</v>
      </c>
      <c r="AN45" s="49" t="s">
        <v>7</v>
      </c>
      <c r="AO45" t="s">
        <v>7</v>
      </c>
      <c r="AS45" t="s">
        <v>141</v>
      </c>
      <c r="AT45" s="26" t="s">
        <v>28</v>
      </c>
      <c r="AU45" t="s">
        <v>28</v>
      </c>
      <c r="BH45" s="25">
        <v>44</v>
      </c>
      <c r="BM45" s="25">
        <v>2</v>
      </c>
    </row>
    <row r="46" spans="1:80" x14ac:dyDescent="0.3">
      <c r="A46" s="6">
        <v>284</v>
      </c>
      <c r="B46" t="str">
        <f t="shared" si="5"/>
        <v>Wednesday</v>
      </c>
      <c r="C46">
        <f t="shared" ref="C46:C102" si="6">A46-A45</f>
        <v>4</v>
      </c>
      <c r="D46" s="16" cm="1">
        <f t="array" aca="1" ref="D46" ca="1">DateTextValue(A46)-DateTextValue(A43)</f>
        <v>314</v>
      </c>
      <c r="E46" s="17" cm="1">
        <f t="array" aca="1" ref="E46" ca="1">DateTextValue(A46)-DateTextValue(A43)</f>
        <v>314</v>
      </c>
      <c r="F46" s="9" cm="1">
        <f t="array" aca="1" ref="F46" ca="1">DateTextValue(A46)-DateTextValue(A43)</f>
        <v>314</v>
      </c>
      <c r="G46" s="9" cm="1">
        <f t="array" aca="1" ref="G46" ca="1">DateTextValue(A46)-DateTextValue(A43)</f>
        <v>314</v>
      </c>
      <c r="I46" s="58">
        <v>20</v>
      </c>
      <c r="J46" s="58">
        <v>20</v>
      </c>
      <c r="K46" s="59" t="s">
        <v>7</v>
      </c>
      <c r="L46" s="59" t="s">
        <v>7</v>
      </c>
      <c r="M46">
        <v>40</v>
      </c>
      <c r="N46" t="s">
        <v>138</v>
      </c>
      <c r="O46" t="s">
        <v>951</v>
      </c>
      <c r="P46" s="7" t="s">
        <v>28</v>
      </c>
      <c r="Q46" t="s">
        <v>103</v>
      </c>
      <c r="R46" t="s">
        <v>58</v>
      </c>
      <c r="S46" t="s">
        <v>138</v>
      </c>
      <c r="T46" s="25" t="s">
        <v>977</v>
      </c>
      <c r="U46" t="s">
        <v>23</v>
      </c>
      <c r="V46">
        <v>0</v>
      </c>
      <c r="W46">
        <v>1</v>
      </c>
      <c r="X46">
        <v>0</v>
      </c>
      <c r="Y46">
        <v>4</v>
      </c>
      <c r="Z46">
        <v>2</v>
      </c>
      <c r="AA46">
        <v>0</v>
      </c>
      <c r="AB46" t="s">
        <v>7</v>
      </c>
      <c r="AC46" t="s">
        <v>7</v>
      </c>
      <c r="AD46" t="s">
        <v>142</v>
      </c>
      <c r="AE46" t="s">
        <v>58</v>
      </c>
      <c r="AF46" s="7" t="str">
        <f t="shared" si="4"/>
        <v>Y</v>
      </c>
      <c r="AG46">
        <v>0</v>
      </c>
      <c r="AH46">
        <v>5</v>
      </c>
      <c r="AI46">
        <f t="shared" ref="AI46:AI51" si="7">AG46-AH46</f>
        <v>-5</v>
      </c>
      <c r="AJ46" t="s">
        <v>47</v>
      </c>
      <c r="AK46" s="50" t="s">
        <v>7</v>
      </c>
      <c r="AL46" s="49" t="s">
        <v>623</v>
      </c>
      <c r="AM46" s="50" t="s">
        <v>7</v>
      </c>
      <c r="AN46" s="52" t="s">
        <v>1067</v>
      </c>
      <c r="AR46" t="s">
        <v>143</v>
      </c>
      <c r="AT46" t="s">
        <v>23</v>
      </c>
      <c r="AU46" t="s">
        <v>23</v>
      </c>
      <c r="AV46" t="s">
        <v>231</v>
      </c>
      <c r="AW46" t="s">
        <v>231</v>
      </c>
      <c r="AX46" t="s">
        <v>231</v>
      </c>
      <c r="AY46" t="s">
        <v>231</v>
      </c>
      <c r="AZ46">
        <v>0</v>
      </c>
      <c r="BA46">
        <v>0</v>
      </c>
      <c r="BB46">
        <v>0</v>
      </c>
      <c r="BC46">
        <v>0</v>
      </c>
      <c r="BD46">
        <v>5</v>
      </c>
      <c r="BE46">
        <v>5</v>
      </c>
      <c r="BF46">
        <v>5</v>
      </c>
      <c r="BG46">
        <v>5</v>
      </c>
      <c r="BH46" s="25">
        <v>45</v>
      </c>
      <c r="BI46" s="25">
        <v>35</v>
      </c>
      <c r="BJ46" s="25">
        <v>33</v>
      </c>
      <c r="BK46" s="25">
        <v>31</v>
      </c>
      <c r="BL46" s="25">
        <v>30</v>
      </c>
      <c r="BM46" s="25">
        <v>3</v>
      </c>
      <c r="BN46" s="27">
        <v>1</v>
      </c>
      <c r="BO46" s="27">
        <v>1</v>
      </c>
      <c r="BP46" s="27">
        <v>1</v>
      </c>
      <c r="BQ46" s="27">
        <v>1</v>
      </c>
    </row>
    <row r="47" spans="1:80" x14ac:dyDescent="0.3">
      <c r="A47" s="6">
        <v>285</v>
      </c>
      <c r="B47" t="str">
        <f t="shared" si="5"/>
        <v>Thursday</v>
      </c>
      <c r="C47">
        <f t="shared" si="6"/>
        <v>1</v>
      </c>
      <c r="D47" s="9">
        <f t="shared" ref="D47:D52" si="8">A47-A46</f>
        <v>1</v>
      </c>
      <c r="E47" s="17">
        <f>A47-A46</f>
        <v>1</v>
      </c>
      <c r="F47" s="9">
        <f>A47-A46</f>
        <v>1</v>
      </c>
      <c r="G47" s="9">
        <f>A47-A46</f>
        <v>1</v>
      </c>
      <c r="K47" s="59" t="s">
        <v>7</v>
      </c>
      <c r="L47" s="59" t="s">
        <v>7</v>
      </c>
      <c r="N47" t="s">
        <v>138</v>
      </c>
      <c r="O47" t="s">
        <v>951</v>
      </c>
      <c r="P47" s="7" t="s">
        <v>38</v>
      </c>
      <c r="Q47" t="s">
        <v>55</v>
      </c>
      <c r="R47" t="s">
        <v>56</v>
      </c>
      <c r="S47" t="s">
        <v>138</v>
      </c>
      <c r="T47" s="4" t="s">
        <v>959</v>
      </c>
      <c r="U47" t="s">
        <v>33</v>
      </c>
      <c r="V47">
        <v>0</v>
      </c>
      <c r="W47">
        <v>0</v>
      </c>
      <c r="X47">
        <v>0</v>
      </c>
      <c r="Y47">
        <v>4</v>
      </c>
      <c r="Z47">
        <v>3</v>
      </c>
      <c r="AA47">
        <v>0</v>
      </c>
      <c r="AB47" t="s">
        <v>7</v>
      </c>
      <c r="AC47" t="s">
        <v>7</v>
      </c>
      <c r="AD47" t="s">
        <v>144</v>
      </c>
      <c r="AE47" t="s">
        <v>56</v>
      </c>
      <c r="AF47" s="7" t="str">
        <f t="shared" si="4"/>
        <v>Y</v>
      </c>
      <c r="AG47">
        <v>17</v>
      </c>
      <c r="AH47">
        <v>5</v>
      </c>
      <c r="AI47">
        <f t="shared" si="7"/>
        <v>12</v>
      </c>
      <c r="AJ47" t="s">
        <v>13</v>
      </c>
      <c r="AK47" s="50" t="s">
        <v>7</v>
      </c>
      <c r="AL47" s="51" t="s">
        <v>959</v>
      </c>
      <c r="AM47" s="50" t="s">
        <v>7</v>
      </c>
      <c r="AN47" s="51" t="s">
        <v>959</v>
      </c>
      <c r="AS47" s="4" t="s">
        <v>892</v>
      </c>
      <c r="AT47" s="4" t="s">
        <v>23</v>
      </c>
      <c r="AU47" t="s">
        <v>28</v>
      </c>
      <c r="AV47" t="s">
        <v>227</v>
      </c>
      <c r="AW47" t="s">
        <v>248</v>
      </c>
      <c r="AX47" t="s">
        <v>227</v>
      </c>
      <c r="AY47" t="s">
        <v>248</v>
      </c>
      <c r="AZ47">
        <v>0</v>
      </c>
      <c r="BA47" t="s">
        <v>248</v>
      </c>
      <c r="BB47">
        <v>0</v>
      </c>
      <c r="BC47" t="s">
        <v>248</v>
      </c>
      <c r="BD47">
        <v>6</v>
      </c>
      <c r="BE47" t="s">
        <v>248</v>
      </c>
      <c r="BF47">
        <v>6</v>
      </c>
      <c r="BG47" t="s">
        <v>248</v>
      </c>
      <c r="BH47" s="25">
        <v>46</v>
      </c>
      <c r="BI47" s="25">
        <v>36</v>
      </c>
      <c r="BK47" s="25">
        <v>32</v>
      </c>
      <c r="BM47" s="25">
        <v>4</v>
      </c>
      <c r="BN47" s="27">
        <v>2</v>
      </c>
      <c r="BP47" s="27">
        <v>2</v>
      </c>
    </row>
    <row r="48" spans="1:80" x14ac:dyDescent="0.3">
      <c r="A48" s="6">
        <v>300</v>
      </c>
      <c r="B48" t="str">
        <f t="shared" si="5"/>
        <v>Friday</v>
      </c>
      <c r="C48">
        <f t="shared" si="6"/>
        <v>15</v>
      </c>
      <c r="D48" s="9">
        <f t="shared" si="8"/>
        <v>15</v>
      </c>
      <c r="E48" s="21">
        <f>A48-A46</f>
        <v>16</v>
      </c>
      <c r="F48" s="9">
        <f t="shared" ref="F48:F104" si="9">A48-A47</f>
        <v>15</v>
      </c>
      <c r="G48" s="20">
        <f>A48-A46</f>
        <v>16</v>
      </c>
      <c r="H48" s="1">
        <v>0.63541666666666663</v>
      </c>
      <c r="I48" s="58">
        <v>20</v>
      </c>
      <c r="J48" s="58">
        <v>20</v>
      </c>
      <c r="K48" s="59" t="s">
        <v>7</v>
      </c>
      <c r="L48" s="59" t="s">
        <v>7</v>
      </c>
      <c r="M48">
        <v>40</v>
      </c>
      <c r="N48" t="s">
        <v>138</v>
      </c>
      <c r="O48" t="s">
        <v>951</v>
      </c>
      <c r="P48" s="7" t="s">
        <v>37</v>
      </c>
      <c r="Q48" t="s">
        <v>900</v>
      </c>
      <c r="R48" t="s">
        <v>145</v>
      </c>
      <c r="S48" t="s">
        <v>736</v>
      </c>
      <c r="T48" s="25" t="s">
        <v>979</v>
      </c>
      <c r="U48" t="s">
        <v>23</v>
      </c>
      <c r="V48">
        <v>2</v>
      </c>
      <c r="W48">
        <v>0</v>
      </c>
      <c r="X48">
        <v>0</v>
      </c>
      <c r="Y48">
        <v>3</v>
      </c>
      <c r="Z48">
        <v>3</v>
      </c>
      <c r="AA48">
        <v>1</v>
      </c>
      <c r="AB48" t="s">
        <v>7</v>
      </c>
      <c r="AC48" t="s">
        <v>7</v>
      </c>
      <c r="AD48" t="s">
        <v>45</v>
      </c>
      <c r="AE48" t="s">
        <v>43</v>
      </c>
      <c r="AF48" s="7" t="str">
        <f t="shared" si="4"/>
        <v>N</v>
      </c>
      <c r="AG48">
        <v>2</v>
      </c>
      <c r="AH48">
        <v>18</v>
      </c>
      <c r="AI48">
        <f t="shared" si="7"/>
        <v>-16</v>
      </c>
      <c r="AJ48" t="s">
        <v>47</v>
      </c>
      <c r="AK48" s="50" t="s">
        <v>7</v>
      </c>
      <c r="AL48" s="49" t="s">
        <v>1025</v>
      </c>
      <c r="AM48" s="50" t="s">
        <v>7</v>
      </c>
      <c r="AN48" s="52" t="s">
        <v>1068</v>
      </c>
      <c r="AO48">
        <f>(5000+10000)/2</f>
        <v>7500</v>
      </c>
      <c r="AP48" s="60">
        <v>5000</v>
      </c>
      <c r="AQ48" s="60">
        <v>10000</v>
      </c>
      <c r="AR48" t="s">
        <v>26</v>
      </c>
      <c r="AT48" t="s">
        <v>23</v>
      </c>
      <c r="AU48" t="s">
        <v>23</v>
      </c>
      <c r="AV48" t="s">
        <v>221</v>
      </c>
      <c r="AW48" t="s">
        <v>227</v>
      </c>
      <c r="AX48" t="s">
        <v>221</v>
      </c>
      <c r="AY48" t="s">
        <v>227</v>
      </c>
      <c r="AZ48">
        <v>1</v>
      </c>
      <c r="BA48">
        <v>0</v>
      </c>
      <c r="BB48">
        <v>1</v>
      </c>
      <c r="BC48">
        <v>0</v>
      </c>
      <c r="BD48">
        <v>0</v>
      </c>
      <c r="BE48">
        <v>6</v>
      </c>
      <c r="BF48">
        <v>0</v>
      </c>
      <c r="BG48">
        <v>6</v>
      </c>
      <c r="BH48" s="25">
        <v>47</v>
      </c>
      <c r="BI48" s="25">
        <v>37</v>
      </c>
      <c r="BJ48" s="25">
        <v>34</v>
      </c>
      <c r="BK48" s="25">
        <v>33</v>
      </c>
      <c r="BL48" s="25">
        <v>31</v>
      </c>
      <c r="BM48" s="25">
        <v>5</v>
      </c>
      <c r="BN48" s="27">
        <v>3</v>
      </c>
      <c r="BO48" s="27">
        <v>2</v>
      </c>
      <c r="BP48" s="27">
        <v>3</v>
      </c>
      <c r="BQ48" s="27">
        <v>2</v>
      </c>
    </row>
    <row r="49" spans="1:80" x14ac:dyDescent="0.3">
      <c r="A49" s="6">
        <v>307</v>
      </c>
      <c r="B49" t="str">
        <f t="shared" si="5"/>
        <v>Friday</v>
      </c>
      <c r="C49">
        <f t="shared" si="6"/>
        <v>7</v>
      </c>
      <c r="D49" s="9">
        <f t="shared" si="8"/>
        <v>7</v>
      </c>
      <c r="E49" s="17">
        <f>A49-A48</f>
        <v>7</v>
      </c>
      <c r="F49" s="9">
        <f t="shared" si="9"/>
        <v>7</v>
      </c>
      <c r="G49" s="9">
        <f>A49-A48</f>
        <v>7</v>
      </c>
      <c r="H49" s="1">
        <v>0.64583333333333337</v>
      </c>
      <c r="I49" s="61" t="s">
        <v>1153</v>
      </c>
      <c r="J49" s="61" t="s">
        <v>1153</v>
      </c>
      <c r="K49" s="59" t="s">
        <v>7</v>
      </c>
      <c r="L49" s="59" t="s">
        <v>7</v>
      </c>
      <c r="M49" s="64" t="s">
        <v>1154</v>
      </c>
      <c r="N49" t="s">
        <v>138</v>
      </c>
      <c r="O49" t="s">
        <v>951</v>
      </c>
      <c r="P49" s="7" t="s">
        <v>37</v>
      </c>
      <c r="Q49" t="s">
        <v>103</v>
      </c>
      <c r="R49" t="s">
        <v>58</v>
      </c>
      <c r="S49" t="s">
        <v>138</v>
      </c>
      <c r="T49" s="38" t="s">
        <v>961</v>
      </c>
      <c r="U49" t="s">
        <v>23</v>
      </c>
      <c r="V49">
        <v>2</v>
      </c>
      <c r="W49">
        <v>2</v>
      </c>
      <c r="X49">
        <v>0</v>
      </c>
      <c r="Y49">
        <v>4</v>
      </c>
      <c r="Z49">
        <v>2</v>
      </c>
      <c r="AA49">
        <v>0</v>
      </c>
      <c r="AB49" t="s">
        <v>7</v>
      </c>
      <c r="AC49" t="s">
        <v>7</v>
      </c>
      <c r="AD49" t="s">
        <v>146</v>
      </c>
      <c r="AE49" t="s">
        <v>43</v>
      </c>
      <c r="AF49" s="7" t="str">
        <f t="shared" si="4"/>
        <v>Y</v>
      </c>
      <c r="AG49">
        <v>5</v>
      </c>
      <c r="AH49">
        <v>11</v>
      </c>
      <c r="AI49">
        <f t="shared" si="7"/>
        <v>-6</v>
      </c>
      <c r="AJ49" t="s">
        <v>47</v>
      </c>
      <c r="AK49" s="50" t="s">
        <v>7</v>
      </c>
      <c r="AL49" s="49" t="s">
        <v>492</v>
      </c>
      <c r="AM49" s="50" t="s">
        <v>7</v>
      </c>
      <c r="AN49" s="52" t="s">
        <v>1069</v>
      </c>
      <c r="AT49" t="s">
        <v>23</v>
      </c>
      <c r="AU49" t="s">
        <v>23</v>
      </c>
      <c r="AV49" t="s">
        <v>222</v>
      </c>
      <c r="AW49" t="s">
        <v>230</v>
      </c>
      <c r="AX49" t="s">
        <v>222</v>
      </c>
      <c r="AY49" t="s">
        <v>230</v>
      </c>
      <c r="AZ49">
        <v>0</v>
      </c>
      <c r="BA49">
        <v>0</v>
      </c>
      <c r="BB49">
        <v>0</v>
      </c>
      <c r="BC49">
        <v>0</v>
      </c>
      <c r="BD49">
        <v>1</v>
      </c>
      <c r="BE49">
        <v>7</v>
      </c>
      <c r="BF49">
        <v>1</v>
      </c>
      <c r="BG49">
        <v>7</v>
      </c>
      <c r="BH49" s="25">
        <v>48</v>
      </c>
      <c r="BI49" s="25">
        <v>38</v>
      </c>
      <c r="BJ49" s="25">
        <v>35</v>
      </c>
      <c r="BK49" s="25">
        <v>34</v>
      </c>
      <c r="BL49" s="25">
        <v>32</v>
      </c>
      <c r="BM49" s="25">
        <v>6</v>
      </c>
      <c r="BN49" s="27">
        <v>4</v>
      </c>
      <c r="BO49" s="27">
        <v>3</v>
      </c>
      <c r="BP49" s="27">
        <v>4</v>
      </c>
      <c r="BQ49" s="27">
        <v>3</v>
      </c>
    </row>
    <row r="50" spans="1:80" x14ac:dyDescent="0.3">
      <c r="A50" s="6">
        <v>315</v>
      </c>
      <c r="B50" t="str">
        <f t="shared" si="5"/>
        <v>Saturday</v>
      </c>
      <c r="C50">
        <f t="shared" si="6"/>
        <v>8</v>
      </c>
      <c r="D50" s="9">
        <f t="shared" si="8"/>
        <v>8</v>
      </c>
      <c r="E50" s="17">
        <f t="shared" ref="E50:E52" si="10">A50-A49</f>
        <v>8</v>
      </c>
      <c r="F50" s="9">
        <f t="shared" si="9"/>
        <v>8</v>
      </c>
      <c r="G50" s="9">
        <f>A50-A49</f>
        <v>8</v>
      </c>
      <c r="K50" s="59" t="s">
        <v>7</v>
      </c>
      <c r="L50" s="59" t="s">
        <v>7</v>
      </c>
      <c r="N50" t="s">
        <v>138</v>
      </c>
      <c r="O50" t="s">
        <v>951</v>
      </c>
      <c r="P50" s="7" t="s">
        <v>38</v>
      </c>
      <c r="Q50" t="s">
        <v>147</v>
      </c>
      <c r="R50" t="s">
        <v>148</v>
      </c>
      <c r="S50" t="s">
        <v>19</v>
      </c>
      <c r="T50" s="44" t="s">
        <v>980</v>
      </c>
      <c r="U50" t="s">
        <v>23</v>
      </c>
      <c r="V50">
        <v>1</v>
      </c>
      <c r="W50">
        <v>2</v>
      </c>
      <c r="X50">
        <v>0</v>
      </c>
      <c r="Y50">
        <v>4</v>
      </c>
      <c r="Z50">
        <v>3</v>
      </c>
      <c r="AA50">
        <v>0</v>
      </c>
      <c r="AB50" t="s">
        <v>7</v>
      </c>
      <c r="AC50" t="s">
        <v>7</v>
      </c>
      <c r="AD50" t="s">
        <v>149</v>
      </c>
      <c r="AE50" t="s">
        <v>148</v>
      </c>
      <c r="AF50" s="7" t="str">
        <f t="shared" si="4"/>
        <v>N</v>
      </c>
      <c r="AG50">
        <v>0</v>
      </c>
      <c r="AH50">
        <v>12</v>
      </c>
      <c r="AI50">
        <f t="shared" si="7"/>
        <v>-12</v>
      </c>
      <c r="AJ50" t="s">
        <v>47</v>
      </c>
      <c r="AK50" s="50" t="s">
        <v>7</v>
      </c>
      <c r="AL50" s="49" t="s">
        <v>253</v>
      </c>
      <c r="AM50" s="50" t="s">
        <v>7</v>
      </c>
      <c r="AN50" s="52" t="s">
        <v>1070</v>
      </c>
      <c r="AS50" s="63" t="s">
        <v>150</v>
      </c>
      <c r="AT50" t="s">
        <v>23</v>
      </c>
      <c r="AU50" t="s">
        <v>23</v>
      </c>
      <c r="AV50" t="s">
        <v>231</v>
      </c>
      <c r="AW50" t="s">
        <v>228</v>
      </c>
      <c r="AX50" t="s">
        <v>231</v>
      </c>
      <c r="AY50" t="s">
        <v>228</v>
      </c>
      <c r="AZ50">
        <v>0</v>
      </c>
      <c r="BA50">
        <v>0</v>
      </c>
      <c r="BB50">
        <v>0</v>
      </c>
      <c r="BC50">
        <v>0</v>
      </c>
      <c r="BD50">
        <v>2</v>
      </c>
      <c r="BE50">
        <v>8</v>
      </c>
      <c r="BF50">
        <v>2</v>
      </c>
      <c r="BG50">
        <v>8</v>
      </c>
      <c r="BH50" s="25">
        <v>49</v>
      </c>
      <c r="BI50" s="25">
        <v>39</v>
      </c>
      <c r="BJ50" s="25">
        <v>36</v>
      </c>
      <c r="BK50" s="25">
        <v>35</v>
      </c>
      <c r="BL50" s="25">
        <v>33</v>
      </c>
      <c r="BM50" s="25">
        <v>7</v>
      </c>
      <c r="BN50" s="27">
        <v>5</v>
      </c>
      <c r="BO50" s="27">
        <v>4</v>
      </c>
      <c r="BP50" s="27">
        <v>5</v>
      </c>
      <c r="BQ50" s="27">
        <v>4</v>
      </c>
    </row>
    <row r="51" spans="1:80" x14ac:dyDescent="0.3">
      <c r="A51" s="6">
        <v>317</v>
      </c>
      <c r="B51" t="str">
        <f t="shared" si="5"/>
        <v>Monday</v>
      </c>
      <c r="C51">
        <f t="shared" si="6"/>
        <v>2</v>
      </c>
      <c r="D51" s="9">
        <f t="shared" si="8"/>
        <v>2</v>
      </c>
      <c r="E51" s="17">
        <f t="shared" si="10"/>
        <v>2</v>
      </c>
      <c r="F51" s="9">
        <f t="shared" si="9"/>
        <v>2</v>
      </c>
      <c r="G51" s="9">
        <f>A51-A50</f>
        <v>2</v>
      </c>
      <c r="H51" s="1">
        <v>0.64583333333333337</v>
      </c>
      <c r="K51" s="59" t="s">
        <v>7</v>
      </c>
      <c r="L51" s="59" t="s">
        <v>7</v>
      </c>
      <c r="N51" t="s">
        <v>138</v>
      </c>
      <c r="O51" t="s">
        <v>951</v>
      </c>
      <c r="P51" s="7" t="s">
        <v>28</v>
      </c>
      <c r="Q51" t="s">
        <v>112</v>
      </c>
      <c r="R51" t="s">
        <v>113</v>
      </c>
      <c r="S51" t="s">
        <v>19</v>
      </c>
      <c r="T51" t="s">
        <v>981</v>
      </c>
      <c r="U51" t="s">
        <v>23</v>
      </c>
      <c r="V51">
        <v>1</v>
      </c>
      <c r="W51">
        <v>1</v>
      </c>
      <c r="X51">
        <v>0</v>
      </c>
      <c r="Y51">
        <v>3</v>
      </c>
      <c r="Z51">
        <v>1</v>
      </c>
      <c r="AA51">
        <v>0</v>
      </c>
      <c r="AB51" t="s">
        <v>7</v>
      </c>
      <c r="AC51" t="s">
        <v>7</v>
      </c>
      <c r="AD51" t="s">
        <v>101</v>
      </c>
      <c r="AE51" t="s">
        <v>100</v>
      </c>
      <c r="AF51" s="7" t="str">
        <f t="shared" si="4"/>
        <v>N</v>
      </c>
      <c r="AG51">
        <v>0</v>
      </c>
      <c r="AH51">
        <v>17</v>
      </c>
      <c r="AI51">
        <f t="shared" si="7"/>
        <v>-17</v>
      </c>
      <c r="AJ51" t="s">
        <v>47</v>
      </c>
      <c r="AK51" s="50" t="s">
        <v>7</v>
      </c>
      <c r="AL51" s="49" t="s">
        <v>258</v>
      </c>
      <c r="AM51" s="50" t="s">
        <v>7</v>
      </c>
      <c r="AN51" s="52" t="s">
        <v>1071</v>
      </c>
      <c r="AT51" t="s">
        <v>23</v>
      </c>
      <c r="AU51" t="s">
        <v>23</v>
      </c>
      <c r="AV51" t="s">
        <v>227</v>
      </c>
      <c r="AW51" t="s">
        <v>238</v>
      </c>
      <c r="AX51" t="s">
        <v>227</v>
      </c>
      <c r="AY51" t="s">
        <v>238</v>
      </c>
      <c r="AZ51">
        <v>0</v>
      </c>
      <c r="BA51">
        <v>0</v>
      </c>
      <c r="BB51">
        <v>0</v>
      </c>
      <c r="BC51">
        <v>0</v>
      </c>
      <c r="BD51">
        <v>3</v>
      </c>
      <c r="BE51">
        <v>9</v>
      </c>
      <c r="BF51">
        <v>3</v>
      </c>
      <c r="BG51">
        <v>9</v>
      </c>
      <c r="BH51" s="25">
        <v>50</v>
      </c>
      <c r="BI51" s="25">
        <v>40</v>
      </c>
      <c r="BJ51" s="25">
        <v>37</v>
      </c>
      <c r="BK51" s="25">
        <v>36</v>
      </c>
      <c r="BL51" s="25">
        <v>34</v>
      </c>
      <c r="BM51" s="25">
        <v>8</v>
      </c>
      <c r="BN51" s="27">
        <v>6</v>
      </c>
      <c r="BO51" s="27">
        <v>5</v>
      </c>
      <c r="BP51" s="27">
        <v>6</v>
      </c>
      <c r="BQ51" s="27">
        <v>5</v>
      </c>
    </row>
    <row r="52" spans="1:80" x14ac:dyDescent="0.3">
      <c r="A52" s="6">
        <v>322</v>
      </c>
      <c r="B52" t="str">
        <f t="shared" si="5"/>
        <v>Saturday</v>
      </c>
      <c r="C52">
        <f t="shared" si="6"/>
        <v>5</v>
      </c>
      <c r="D52" s="13">
        <f t="shared" si="8"/>
        <v>5</v>
      </c>
      <c r="E52" s="17">
        <f t="shared" si="10"/>
        <v>5</v>
      </c>
      <c r="F52" s="9">
        <f t="shared" si="9"/>
        <v>5</v>
      </c>
      <c r="G52" s="9">
        <f>A52-A51</f>
        <v>5</v>
      </c>
      <c r="I52" s="58" t="s">
        <v>7</v>
      </c>
      <c r="J52" s="58" t="s">
        <v>7</v>
      </c>
      <c r="K52" s="59" t="s">
        <v>7</v>
      </c>
      <c r="L52" s="59" t="s">
        <v>7</v>
      </c>
      <c r="M52" t="s">
        <v>7</v>
      </c>
      <c r="N52" t="s">
        <v>138</v>
      </c>
      <c r="O52" t="s">
        <v>951</v>
      </c>
      <c r="P52" s="7" t="s">
        <v>37</v>
      </c>
      <c r="Q52" t="s">
        <v>65</v>
      </c>
      <c r="R52" t="s">
        <v>46</v>
      </c>
      <c r="S52" t="s">
        <v>140</v>
      </c>
      <c r="T52" t="s">
        <v>971</v>
      </c>
      <c r="U52" t="s">
        <v>23</v>
      </c>
      <c r="V52">
        <v>3</v>
      </c>
      <c r="W52">
        <v>0</v>
      </c>
      <c r="X52">
        <v>2</v>
      </c>
      <c r="Y52">
        <v>4</v>
      </c>
      <c r="Z52">
        <v>1</v>
      </c>
      <c r="AA52">
        <v>3</v>
      </c>
      <c r="AB52" t="s">
        <v>7</v>
      </c>
      <c r="AC52" t="s">
        <v>7</v>
      </c>
      <c r="AD52" t="s">
        <v>45</v>
      </c>
      <c r="AE52" t="s">
        <v>43</v>
      </c>
      <c r="AF52" s="7" t="str">
        <f t="shared" si="4"/>
        <v>N</v>
      </c>
      <c r="AG52" t="s">
        <v>7</v>
      </c>
      <c r="AH52" t="s">
        <v>7</v>
      </c>
      <c r="AI52" t="s">
        <v>7</v>
      </c>
      <c r="AJ52" t="s">
        <v>7</v>
      </c>
      <c r="AK52" s="50" t="s">
        <v>7</v>
      </c>
      <c r="AL52" s="49" t="s">
        <v>7</v>
      </c>
      <c r="AM52" s="50" t="s">
        <v>7</v>
      </c>
      <c r="AN52" s="49" t="s">
        <v>7</v>
      </c>
      <c r="AO52" t="s">
        <v>7</v>
      </c>
      <c r="AS52" t="s">
        <v>141</v>
      </c>
      <c r="AT52" s="26" t="s">
        <v>28</v>
      </c>
      <c r="AU52" t="s">
        <v>28</v>
      </c>
      <c r="BH52" s="25">
        <v>51</v>
      </c>
      <c r="BM52" s="25">
        <v>9</v>
      </c>
    </row>
    <row r="53" spans="1:80" x14ac:dyDescent="0.3">
      <c r="A53" s="6">
        <v>324</v>
      </c>
      <c r="B53" t="str">
        <f t="shared" si="5"/>
        <v>Monday</v>
      </c>
      <c r="C53">
        <f t="shared" si="6"/>
        <v>2</v>
      </c>
      <c r="D53" s="14">
        <f>A53-A51</f>
        <v>7</v>
      </c>
      <c r="E53" s="17">
        <f>A53-A51</f>
        <v>7</v>
      </c>
      <c r="F53" s="9">
        <f>A53-A51</f>
        <v>7</v>
      </c>
      <c r="G53" s="9">
        <f>A53-A51</f>
        <v>7</v>
      </c>
      <c r="H53" s="1">
        <v>0.64583333333333337</v>
      </c>
      <c r="I53" s="58">
        <v>25</v>
      </c>
      <c r="J53" s="58">
        <v>25</v>
      </c>
      <c r="K53" s="59" t="s">
        <v>7</v>
      </c>
      <c r="L53" s="59" t="s">
        <v>7</v>
      </c>
      <c r="M53">
        <v>50</v>
      </c>
      <c r="N53" t="s">
        <v>138</v>
      </c>
      <c r="O53" t="s">
        <v>951</v>
      </c>
      <c r="P53" s="7" t="s">
        <v>37</v>
      </c>
      <c r="Q53" t="s">
        <v>151</v>
      </c>
      <c r="R53" t="s">
        <v>152</v>
      </c>
      <c r="S53" t="s">
        <v>140</v>
      </c>
      <c r="T53" t="s">
        <v>982</v>
      </c>
      <c r="U53" t="s">
        <v>23</v>
      </c>
      <c r="V53">
        <v>2</v>
      </c>
      <c r="W53">
        <v>3</v>
      </c>
      <c r="X53">
        <v>0</v>
      </c>
      <c r="Y53">
        <v>2</v>
      </c>
      <c r="Z53">
        <v>5</v>
      </c>
      <c r="AA53">
        <v>0</v>
      </c>
      <c r="AB53" t="s">
        <v>7</v>
      </c>
      <c r="AC53" t="s">
        <v>7</v>
      </c>
      <c r="AD53" t="s">
        <v>45</v>
      </c>
      <c r="AE53" t="s">
        <v>43</v>
      </c>
      <c r="AF53" s="7" t="str">
        <f t="shared" si="4"/>
        <v>N</v>
      </c>
      <c r="AG53">
        <v>6</v>
      </c>
      <c r="AH53">
        <v>5</v>
      </c>
      <c r="AI53">
        <f t="shared" ref="AI53:AI61" si="11">AG53-AH53</f>
        <v>1</v>
      </c>
      <c r="AJ53" t="s">
        <v>13</v>
      </c>
      <c r="AK53" s="50" t="s">
        <v>7</v>
      </c>
      <c r="AL53" s="49" t="s">
        <v>623</v>
      </c>
      <c r="AM53" s="50" t="s">
        <v>7</v>
      </c>
      <c r="AN53" s="52" t="s">
        <v>1072</v>
      </c>
      <c r="AT53" t="s">
        <v>23</v>
      </c>
      <c r="AU53" t="s">
        <v>23</v>
      </c>
      <c r="AV53" t="s">
        <v>230</v>
      </c>
      <c r="AW53" t="s">
        <v>236</v>
      </c>
      <c r="AX53" t="s">
        <v>230</v>
      </c>
      <c r="AY53" t="s">
        <v>236</v>
      </c>
      <c r="AZ53">
        <v>0</v>
      </c>
      <c r="BA53">
        <v>0</v>
      </c>
      <c r="BB53">
        <v>0</v>
      </c>
      <c r="BC53">
        <v>0</v>
      </c>
      <c r="BD53">
        <v>4</v>
      </c>
      <c r="BE53">
        <v>10</v>
      </c>
      <c r="BF53">
        <v>4</v>
      </c>
      <c r="BG53">
        <v>10</v>
      </c>
      <c r="BH53" s="25">
        <v>52</v>
      </c>
      <c r="BI53" s="25">
        <v>41</v>
      </c>
      <c r="BJ53" s="25">
        <v>38</v>
      </c>
      <c r="BK53" s="25">
        <v>37</v>
      </c>
      <c r="BL53" s="25">
        <v>35</v>
      </c>
      <c r="BM53" s="25">
        <v>10</v>
      </c>
      <c r="BN53" s="27">
        <v>7</v>
      </c>
      <c r="BO53" s="27">
        <v>6</v>
      </c>
      <c r="BP53" s="27">
        <v>7</v>
      </c>
      <c r="BQ53" s="27">
        <v>6</v>
      </c>
    </row>
    <row r="54" spans="1:80" x14ac:dyDescent="0.3">
      <c r="A54" s="6">
        <v>328</v>
      </c>
      <c r="B54" t="str">
        <f t="shared" si="5"/>
        <v>Friday</v>
      </c>
      <c r="C54">
        <f t="shared" si="6"/>
        <v>4</v>
      </c>
      <c r="D54" s="9">
        <f t="shared" ref="D54:D62" si="12">A54-A53</f>
        <v>4</v>
      </c>
      <c r="E54" s="17">
        <f>A54-A53</f>
        <v>4</v>
      </c>
      <c r="F54" s="9">
        <f t="shared" si="9"/>
        <v>4</v>
      </c>
      <c r="G54" s="9">
        <f t="shared" ref="G54:G62" si="13">A54-A53</f>
        <v>4</v>
      </c>
      <c r="H54" s="1">
        <v>0.64583333333333337</v>
      </c>
      <c r="I54" s="65">
        <v>25</v>
      </c>
      <c r="J54" s="65">
        <v>15</v>
      </c>
      <c r="K54" s="59" t="s">
        <v>7</v>
      </c>
      <c r="L54" s="59" t="s">
        <v>7</v>
      </c>
      <c r="M54">
        <v>40</v>
      </c>
      <c r="N54" t="s">
        <v>138</v>
      </c>
      <c r="O54" t="s">
        <v>951</v>
      </c>
      <c r="P54" s="7" t="s">
        <v>37</v>
      </c>
      <c r="Q54" t="s">
        <v>55</v>
      </c>
      <c r="R54" t="s">
        <v>56</v>
      </c>
      <c r="S54" t="s">
        <v>138</v>
      </c>
      <c r="T54" s="4" t="s">
        <v>959</v>
      </c>
      <c r="U54" t="s">
        <v>33</v>
      </c>
      <c r="V54">
        <v>4</v>
      </c>
      <c r="W54">
        <v>1</v>
      </c>
      <c r="X54">
        <v>0</v>
      </c>
      <c r="Y54">
        <v>4</v>
      </c>
      <c r="Z54">
        <v>3</v>
      </c>
      <c r="AA54">
        <v>0</v>
      </c>
      <c r="AB54" t="s">
        <v>7</v>
      </c>
      <c r="AC54" t="s">
        <v>7</v>
      </c>
      <c r="AD54" t="s">
        <v>45</v>
      </c>
      <c r="AE54" t="s">
        <v>43</v>
      </c>
      <c r="AF54" s="7" t="str">
        <f t="shared" si="4"/>
        <v>Y</v>
      </c>
      <c r="AG54">
        <v>21</v>
      </c>
      <c r="AH54">
        <v>0</v>
      </c>
      <c r="AI54">
        <f t="shared" si="11"/>
        <v>21</v>
      </c>
      <c r="AJ54" t="s">
        <v>13</v>
      </c>
      <c r="AK54" s="50" t="s">
        <v>7</v>
      </c>
      <c r="AL54" s="51" t="s">
        <v>959</v>
      </c>
      <c r="AM54" s="50" t="s">
        <v>7</v>
      </c>
      <c r="AN54" s="51" t="s">
        <v>1059</v>
      </c>
      <c r="AT54" t="s">
        <v>23</v>
      </c>
      <c r="AU54" t="s">
        <v>23</v>
      </c>
      <c r="AV54" t="s">
        <v>221</v>
      </c>
      <c r="AW54" t="s">
        <v>221</v>
      </c>
      <c r="AX54" t="s">
        <v>221</v>
      </c>
      <c r="AY54" t="s">
        <v>221</v>
      </c>
      <c r="AZ54">
        <v>1</v>
      </c>
      <c r="BA54">
        <v>1</v>
      </c>
      <c r="BB54">
        <v>1</v>
      </c>
      <c r="BC54">
        <v>1</v>
      </c>
      <c r="BD54">
        <v>0</v>
      </c>
      <c r="BE54">
        <v>0</v>
      </c>
      <c r="BF54">
        <v>0</v>
      </c>
      <c r="BG54">
        <v>0</v>
      </c>
      <c r="BH54" s="25">
        <v>53</v>
      </c>
      <c r="BI54" s="25">
        <v>42</v>
      </c>
      <c r="BJ54" s="25">
        <v>39</v>
      </c>
      <c r="BK54" s="25">
        <v>38</v>
      </c>
      <c r="BL54" s="25">
        <v>36</v>
      </c>
      <c r="BM54" s="25">
        <v>11</v>
      </c>
      <c r="BN54" s="27">
        <v>8</v>
      </c>
      <c r="BO54" s="27">
        <v>7</v>
      </c>
      <c r="BP54" s="27">
        <v>8</v>
      </c>
      <c r="BQ54" s="27">
        <v>7</v>
      </c>
    </row>
    <row r="55" spans="1:80" x14ac:dyDescent="0.3">
      <c r="A55" s="6">
        <v>334</v>
      </c>
      <c r="B55" t="str">
        <f t="shared" si="5"/>
        <v>Thursday</v>
      </c>
      <c r="C55">
        <f t="shared" si="6"/>
        <v>6</v>
      </c>
      <c r="D55" s="9">
        <f t="shared" si="12"/>
        <v>6</v>
      </c>
      <c r="E55" s="17">
        <f>A55-A54</f>
        <v>6</v>
      </c>
      <c r="F55" s="9">
        <f t="shared" si="9"/>
        <v>6</v>
      </c>
      <c r="G55" s="9">
        <f t="shared" si="13"/>
        <v>6</v>
      </c>
      <c r="H55" s="1">
        <v>0.625</v>
      </c>
      <c r="K55" s="59" t="s">
        <v>7</v>
      </c>
      <c r="L55" s="59" t="s">
        <v>7</v>
      </c>
      <c r="N55" t="s">
        <v>138</v>
      </c>
      <c r="O55" t="s">
        <v>951</v>
      </c>
      <c r="P55" s="7" t="s">
        <v>37</v>
      </c>
      <c r="Q55" t="s">
        <v>147</v>
      </c>
      <c r="R55" t="s">
        <v>148</v>
      </c>
      <c r="S55" t="s">
        <v>19</v>
      </c>
      <c r="T55" t="s">
        <v>980</v>
      </c>
      <c r="U55" t="s">
        <v>23</v>
      </c>
      <c r="V55">
        <v>3</v>
      </c>
      <c r="W55">
        <v>3</v>
      </c>
      <c r="X55">
        <v>0</v>
      </c>
      <c r="Y55">
        <v>4</v>
      </c>
      <c r="Z55">
        <v>3</v>
      </c>
      <c r="AA55">
        <v>0</v>
      </c>
      <c r="AB55" t="s">
        <v>7</v>
      </c>
      <c r="AC55" t="s">
        <v>7</v>
      </c>
      <c r="AD55" t="s">
        <v>45</v>
      </c>
      <c r="AE55" t="s">
        <v>43</v>
      </c>
      <c r="AF55" s="7" t="str">
        <f t="shared" si="4"/>
        <v>N</v>
      </c>
      <c r="AG55">
        <v>5</v>
      </c>
      <c r="AH55">
        <v>17</v>
      </c>
      <c r="AI55">
        <f t="shared" si="11"/>
        <v>-12</v>
      </c>
      <c r="AJ55" t="s">
        <v>47</v>
      </c>
      <c r="AK55" s="50" t="s">
        <v>7</v>
      </c>
      <c r="AL55" s="49" t="s">
        <v>492</v>
      </c>
      <c r="AM55" s="50" t="s">
        <v>7</v>
      </c>
      <c r="AN55" s="52" t="s">
        <v>1073</v>
      </c>
      <c r="AR55" t="s">
        <v>59</v>
      </c>
      <c r="AT55" t="s">
        <v>23</v>
      </c>
      <c r="AU55" t="s">
        <v>23</v>
      </c>
      <c r="AV55" t="s">
        <v>223</v>
      </c>
      <c r="AW55" t="s">
        <v>223</v>
      </c>
      <c r="AX55" t="s">
        <v>223</v>
      </c>
      <c r="AY55" t="s">
        <v>223</v>
      </c>
      <c r="AZ55">
        <v>2</v>
      </c>
      <c r="BA55">
        <v>2</v>
      </c>
      <c r="BB55">
        <v>2</v>
      </c>
      <c r="BC55">
        <v>2</v>
      </c>
      <c r="BD55">
        <v>0</v>
      </c>
      <c r="BE55">
        <v>0</v>
      </c>
      <c r="BF55">
        <v>0</v>
      </c>
      <c r="BG55">
        <v>0</v>
      </c>
      <c r="BH55" s="25">
        <v>54</v>
      </c>
      <c r="BI55" s="25">
        <v>43</v>
      </c>
      <c r="BJ55" s="25">
        <v>40</v>
      </c>
      <c r="BK55" s="25">
        <v>39</v>
      </c>
      <c r="BL55" s="25">
        <v>37</v>
      </c>
      <c r="BM55" s="25">
        <v>12</v>
      </c>
      <c r="BN55" s="27">
        <v>9</v>
      </c>
      <c r="BO55" s="27">
        <v>8</v>
      </c>
      <c r="BP55" s="27">
        <v>9</v>
      </c>
      <c r="BQ55" s="27">
        <v>8</v>
      </c>
      <c r="BR55" s="27" t="s">
        <v>23</v>
      </c>
      <c r="BS55" s="27" t="s">
        <v>23</v>
      </c>
      <c r="BT55" s="71" t="s">
        <v>23</v>
      </c>
      <c r="BU55" s="27" t="s">
        <v>23</v>
      </c>
      <c r="BV55" s="27"/>
      <c r="BW55" s="27"/>
      <c r="BY55" s="71" t="s">
        <v>23</v>
      </c>
      <c r="BZ55" s="7" t="s">
        <v>23</v>
      </c>
      <c r="CA55" s="7" t="s">
        <v>23</v>
      </c>
      <c r="CB55" s="7" t="s">
        <v>23</v>
      </c>
    </row>
    <row r="56" spans="1:80" x14ac:dyDescent="0.3">
      <c r="A56" s="6">
        <v>648</v>
      </c>
      <c r="B56" t="str">
        <f t="shared" si="5"/>
        <v>Wednesday</v>
      </c>
      <c r="C56">
        <f t="shared" si="6"/>
        <v>314</v>
      </c>
      <c r="D56" s="9">
        <f t="shared" si="12"/>
        <v>314</v>
      </c>
      <c r="E56" s="17">
        <f t="shared" ref="E56:E79" si="14">A56-A55</f>
        <v>314</v>
      </c>
      <c r="F56" s="9">
        <f t="shared" si="9"/>
        <v>314</v>
      </c>
      <c r="G56" s="9">
        <f t="shared" si="13"/>
        <v>314</v>
      </c>
      <c r="K56" s="59" t="s">
        <v>7</v>
      </c>
      <c r="L56" s="59" t="s">
        <v>7</v>
      </c>
      <c r="N56" t="s">
        <v>138</v>
      </c>
      <c r="O56" t="s">
        <v>952</v>
      </c>
      <c r="P56" s="7" t="s">
        <v>28</v>
      </c>
      <c r="Q56" t="s">
        <v>103</v>
      </c>
      <c r="R56" t="s">
        <v>58</v>
      </c>
      <c r="S56" t="s">
        <v>138</v>
      </c>
      <c r="T56" s="38" t="s">
        <v>961</v>
      </c>
      <c r="U56" t="s">
        <v>23</v>
      </c>
      <c r="V56">
        <v>0</v>
      </c>
      <c r="W56">
        <v>2</v>
      </c>
      <c r="X56">
        <v>0</v>
      </c>
      <c r="Y56">
        <v>0</v>
      </c>
      <c r="Z56">
        <v>7</v>
      </c>
      <c r="AA56">
        <v>0</v>
      </c>
      <c r="AB56" t="s">
        <v>7</v>
      </c>
      <c r="AC56" t="s">
        <v>7</v>
      </c>
      <c r="AD56" t="s">
        <v>142</v>
      </c>
      <c r="AE56" t="s">
        <v>58</v>
      </c>
      <c r="AF56" s="7" t="str">
        <f t="shared" si="4"/>
        <v>Y</v>
      </c>
      <c r="AG56">
        <v>21</v>
      </c>
      <c r="AH56">
        <v>6</v>
      </c>
      <c r="AI56">
        <f t="shared" si="11"/>
        <v>15</v>
      </c>
      <c r="AJ56" t="s">
        <v>13</v>
      </c>
      <c r="AK56" s="50" t="s">
        <v>7</v>
      </c>
      <c r="AL56" s="51" t="s">
        <v>959</v>
      </c>
      <c r="AM56" s="50" t="s">
        <v>7</v>
      </c>
      <c r="AN56" s="51" t="s">
        <v>959</v>
      </c>
      <c r="AR56" t="s">
        <v>143</v>
      </c>
      <c r="AT56" t="s">
        <v>23</v>
      </c>
      <c r="AU56" t="s">
        <v>23</v>
      </c>
      <c r="AV56" t="s">
        <v>222</v>
      </c>
      <c r="AW56" t="s">
        <v>222</v>
      </c>
      <c r="AX56" t="s">
        <v>222</v>
      </c>
      <c r="AY56" t="s">
        <v>222</v>
      </c>
      <c r="AZ56">
        <v>0</v>
      </c>
      <c r="BA56">
        <v>0</v>
      </c>
      <c r="BB56">
        <v>0</v>
      </c>
      <c r="BC56">
        <v>0</v>
      </c>
      <c r="BD56">
        <v>1</v>
      </c>
      <c r="BE56">
        <v>1</v>
      </c>
      <c r="BF56">
        <v>1</v>
      </c>
      <c r="BG56">
        <v>1</v>
      </c>
      <c r="BH56" s="25">
        <v>55</v>
      </c>
      <c r="BI56" s="25">
        <v>44</v>
      </c>
      <c r="BJ56" s="25">
        <v>41</v>
      </c>
      <c r="BK56" s="25">
        <v>40</v>
      </c>
      <c r="BL56" s="25">
        <v>38</v>
      </c>
      <c r="BM56" s="25">
        <v>1</v>
      </c>
      <c r="BN56" s="27">
        <v>1</v>
      </c>
      <c r="BO56" s="27">
        <v>1</v>
      </c>
      <c r="BP56" s="27">
        <v>1</v>
      </c>
      <c r="BQ56" s="27">
        <v>1</v>
      </c>
    </row>
    <row r="57" spans="1:80" x14ac:dyDescent="0.3">
      <c r="A57" s="6">
        <v>649</v>
      </c>
      <c r="B57" t="str">
        <f t="shared" si="5"/>
        <v>Thursday</v>
      </c>
      <c r="C57">
        <f t="shared" si="6"/>
        <v>1</v>
      </c>
      <c r="D57" s="9">
        <f t="shared" si="12"/>
        <v>1</v>
      </c>
      <c r="E57" s="17">
        <f t="shared" si="14"/>
        <v>1</v>
      </c>
      <c r="F57" s="9">
        <f t="shared" si="9"/>
        <v>1</v>
      </c>
      <c r="G57" s="9">
        <f t="shared" si="13"/>
        <v>1</v>
      </c>
      <c r="I57" s="58">
        <v>20</v>
      </c>
      <c r="J57" s="58">
        <v>20</v>
      </c>
      <c r="K57" s="59" t="s">
        <v>7</v>
      </c>
      <c r="L57" s="59" t="s">
        <v>7</v>
      </c>
      <c r="M57">
        <v>40</v>
      </c>
      <c r="N57" t="s">
        <v>138</v>
      </c>
      <c r="O57" t="s">
        <v>952</v>
      </c>
      <c r="P57" s="7" t="s">
        <v>38</v>
      </c>
      <c r="Q57" t="s">
        <v>55</v>
      </c>
      <c r="R57" t="s">
        <v>56</v>
      </c>
      <c r="S57" t="s">
        <v>138</v>
      </c>
      <c r="T57" t="s">
        <v>976</v>
      </c>
      <c r="U57" t="s">
        <v>33</v>
      </c>
      <c r="V57">
        <v>0</v>
      </c>
      <c r="W57">
        <v>0</v>
      </c>
      <c r="X57">
        <v>0</v>
      </c>
      <c r="Y57">
        <v>5</v>
      </c>
      <c r="Z57">
        <v>2</v>
      </c>
      <c r="AA57">
        <v>0</v>
      </c>
      <c r="AB57" t="s">
        <v>7</v>
      </c>
      <c r="AC57" t="s">
        <v>7</v>
      </c>
      <c r="AD57" t="s">
        <v>144</v>
      </c>
      <c r="AE57" t="s">
        <v>56</v>
      </c>
      <c r="AF57" s="7" t="str">
        <f t="shared" si="4"/>
        <v>Y</v>
      </c>
      <c r="AG57">
        <v>10</v>
      </c>
      <c r="AH57">
        <v>0</v>
      </c>
      <c r="AI57">
        <f t="shared" si="11"/>
        <v>10</v>
      </c>
      <c r="AJ57" t="s">
        <v>13</v>
      </c>
      <c r="AK57" s="50" t="s">
        <v>7</v>
      </c>
      <c r="AL57" s="49" t="s">
        <v>492</v>
      </c>
      <c r="AM57" s="50" t="s">
        <v>7</v>
      </c>
      <c r="AN57" s="52" t="s">
        <v>1074</v>
      </c>
      <c r="AT57" t="s">
        <v>23</v>
      </c>
      <c r="AU57" t="s">
        <v>23</v>
      </c>
      <c r="AV57" t="s">
        <v>221</v>
      </c>
      <c r="AW57" t="s">
        <v>221</v>
      </c>
      <c r="AX57" t="s">
        <v>221</v>
      </c>
      <c r="AY57" t="s">
        <v>221</v>
      </c>
      <c r="AZ57">
        <v>1</v>
      </c>
      <c r="BA57">
        <v>1</v>
      </c>
      <c r="BB57">
        <v>1</v>
      </c>
      <c r="BC57">
        <v>1</v>
      </c>
      <c r="BD57">
        <v>0</v>
      </c>
      <c r="BE57">
        <v>0</v>
      </c>
      <c r="BF57">
        <v>0</v>
      </c>
      <c r="BG57">
        <v>0</v>
      </c>
      <c r="BH57" s="25">
        <v>56</v>
      </c>
      <c r="BI57" s="25">
        <v>45</v>
      </c>
      <c r="BJ57" s="25">
        <v>42</v>
      </c>
      <c r="BK57" s="25">
        <v>41</v>
      </c>
      <c r="BL57" s="25">
        <v>39</v>
      </c>
      <c r="BM57" s="25">
        <v>2</v>
      </c>
      <c r="BN57" s="27">
        <v>2</v>
      </c>
      <c r="BO57" s="27">
        <v>2</v>
      </c>
      <c r="BP57" s="27">
        <v>2</v>
      </c>
      <c r="BQ57" s="27">
        <v>2</v>
      </c>
    </row>
    <row r="58" spans="1:80" x14ac:dyDescent="0.3">
      <c r="A58" s="6">
        <v>655</v>
      </c>
      <c r="B58" t="str">
        <f t="shared" si="5"/>
        <v>Wednesday</v>
      </c>
      <c r="C58">
        <f t="shared" si="6"/>
        <v>6</v>
      </c>
      <c r="D58" s="9">
        <f t="shared" si="12"/>
        <v>6</v>
      </c>
      <c r="E58" s="17">
        <f t="shared" si="14"/>
        <v>6</v>
      </c>
      <c r="F58" s="9">
        <f t="shared" si="9"/>
        <v>6</v>
      </c>
      <c r="G58" s="9">
        <f t="shared" si="13"/>
        <v>6</v>
      </c>
      <c r="I58" s="65">
        <v>20</v>
      </c>
      <c r="J58" s="65">
        <v>15</v>
      </c>
      <c r="K58" s="59" t="s">
        <v>7</v>
      </c>
      <c r="L58" s="59" t="s">
        <v>7</v>
      </c>
      <c r="M58">
        <v>35</v>
      </c>
      <c r="N58" t="s">
        <v>138</v>
      </c>
      <c r="O58" t="s">
        <v>952</v>
      </c>
      <c r="P58" s="7" t="s">
        <v>38</v>
      </c>
      <c r="Q58" t="s">
        <v>65</v>
      </c>
      <c r="R58" t="s">
        <v>46</v>
      </c>
      <c r="S58" t="s">
        <v>140</v>
      </c>
      <c r="T58" t="s">
        <v>983</v>
      </c>
      <c r="U58" t="s">
        <v>23</v>
      </c>
      <c r="V58">
        <v>1</v>
      </c>
      <c r="W58">
        <v>0</v>
      </c>
      <c r="X58">
        <v>0</v>
      </c>
      <c r="Y58">
        <v>7</v>
      </c>
      <c r="Z58">
        <v>2</v>
      </c>
      <c r="AA58">
        <v>0</v>
      </c>
      <c r="AB58" t="s">
        <v>7</v>
      </c>
      <c r="AC58" t="s">
        <v>7</v>
      </c>
      <c r="AD58" t="s">
        <v>929</v>
      </c>
      <c r="AE58" t="s">
        <v>46</v>
      </c>
      <c r="AF58" s="7" t="str">
        <f t="shared" si="4"/>
        <v>N</v>
      </c>
      <c r="AG58">
        <v>0</v>
      </c>
      <c r="AH58">
        <v>39</v>
      </c>
      <c r="AI58">
        <f t="shared" si="11"/>
        <v>-39</v>
      </c>
      <c r="AJ58" t="s">
        <v>47</v>
      </c>
      <c r="AK58" s="50" t="s">
        <v>7</v>
      </c>
      <c r="AL58" s="49" t="s">
        <v>1036</v>
      </c>
      <c r="AM58" s="50" t="s">
        <v>7</v>
      </c>
      <c r="AN58" s="52" t="s">
        <v>1075</v>
      </c>
      <c r="AT58" t="s">
        <v>23</v>
      </c>
      <c r="AU58" t="s">
        <v>23</v>
      </c>
      <c r="AV58" t="s">
        <v>223</v>
      </c>
      <c r="AW58" t="s">
        <v>223</v>
      </c>
      <c r="AX58" t="s">
        <v>223</v>
      </c>
      <c r="AY58" t="s">
        <v>223</v>
      </c>
      <c r="AZ58">
        <v>2</v>
      </c>
      <c r="BA58">
        <v>2</v>
      </c>
      <c r="BB58">
        <v>2</v>
      </c>
      <c r="BC58">
        <v>2</v>
      </c>
      <c r="BD58">
        <v>0</v>
      </c>
      <c r="BE58">
        <v>0</v>
      </c>
      <c r="BF58">
        <v>0</v>
      </c>
      <c r="BG58">
        <v>0</v>
      </c>
      <c r="BH58" s="25">
        <v>57</v>
      </c>
      <c r="BI58" s="25">
        <v>46</v>
      </c>
      <c r="BJ58" s="25">
        <v>43</v>
      </c>
      <c r="BK58" s="25">
        <v>42</v>
      </c>
      <c r="BL58" s="25">
        <v>40</v>
      </c>
      <c r="BM58" s="25">
        <v>3</v>
      </c>
      <c r="BN58" s="27">
        <v>3</v>
      </c>
      <c r="BO58" s="27">
        <v>3</v>
      </c>
      <c r="BP58" s="27">
        <v>3</v>
      </c>
      <c r="BQ58" s="27">
        <v>3</v>
      </c>
    </row>
    <row r="59" spans="1:80" x14ac:dyDescent="0.3">
      <c r="A59" s="6">
        <v>686</v>
      </c>
      <c r="B59" t="str">
        <f t="shared" si="5"/>
        <v>Saturday</v>
      </c>
      <c r="C59">
        <f t="shared" si="6"/>
        <v>31</v>
      </c>
      <c r="D59" s="9">
        <f t="shared" si="12"/>
        <v>31</v>
      </c>
      <c r="E59" s="17">
        <f t="shared" si="14"/>
        <v>31</v>
      </c>
      <c r="F59" s="9">
        <f t="shared" si="9"/>
        <v>31</v>
      </c>
      <c r="G59" s="9">
        <f t="shared" si="13"/>
        <v>31</v>
      </c>
      <c r="H59" s="1">
        <v>0.66666666666666663</v>
      </c>
      <c r="I59" s="65">
        <v>25</v>
      </c>
      <c r="J59" s="65">
        <v>15</v>
      </c>
      <c r="K59" s="59" t="s">
        <v>7</v>
      </c>
      <c r="L59" s="59" t="s">
        <v>7</v>
      </c>
      <c r="M59">
        <v>40</v>
      </c>
      <c r="N59" t="s">
        <v>138</v>
      </c>
      <c r="O59" t="s">
        <v>952</v>
      </c>
      <c r="P59" s="7" t="s">
        <v>37</v>
      </c>
      <c r="Q59" t="s">
        <v>65</v>
      </c>
      <c r="R59" t="s">
        <v>46</v>
      </c>
      <c r="S59" t="s">
        <v>140</v>
      </c>
      <c r="T59" t="s">
        <v>983</v>
      </c>
      <c r="U59" t="s">
        <v>23</v>
      </c>
      <c r="V59">
        <v>5</v>
      </c>
      <c r="W59">
        <v>0</v>
      </c>
      <c r="X59">
        <v>0</v>
      </c>
      <c r="Y59">
        <v>7</v>
      </c>
      <c r="Z59">
        <v>2</v>
      </c>
      <c r="AA59">
        <v>0</v>
      </c>
      <c r="AB59" t="s">
        <v>7</v>
      </c>
      <c r="AC59" t="s">
        <v>7</v>
      </c>
      <c r="AD59" t="s">
        <v>45</v>
      </c>
      <c r="AE59" t="s">
        <v>43</v>
      </c>
      <c r="AF59" s="7" t="str">
        <f t="shared" si="4"/>
        <v>N</v>
      </c>
      <c r="AG59">
        <v>0</v>
      </c>
      <c r="AH59">
        <v>30</v>
      </c>
      <c r="AI59">
        <f t="shared" si="11"/>
        <v>-30</v>
      </c>
      <c r="AJ59" t="s">
        <v>47</v>
      </c>
      <c r="AK59" s="50" t="s">
        <v>7</v>
      </c>
      <c r="AL59" s="49" t="s">
        <v>1037</v>
      </c>
      <c r="AM59" s="50" t="s">
        <v>7</v>
      </c>
      <c r="AN59" s="52" t="s">
        <v>1076</v>
      </c>
      <c r="AS59" t="s">
        <v>88</v>
      </c>
      <c r="AT59" t="s">
        <v>23</v>
      </c>
      <c r="AU59" t="s">
        <v>23</v>
      </c>
      <c r="AV59" t="s">
        <v>222</v>
      </c>
      <c r="AW59" t="s">
        <v>222</v>
      </c>
      <c r="AX59" t="s">
        <v>222</v>
      </c>
      <c r="AY59" t="s">
        <v>222</v>
      </c>
      <c r="AZ59">
        <v>0</v>
      </c>
      <c r="BA59">
        <v>0</v>
      </c>
      <c r="BB59">
        <v>0</v>
      </c>
      <c r="BC59">
        <v>0</v>
      </c>
      <c r="BD59">
        <v>1</v>
      </c>
      <c r="BE59">
        <v>1</v>
      </c>
      <c r="BF59">
        <v>1</v>
      </c>
      <c r="BG59">
        <v>1</v>
      </c>
      <c r="BH59" s="25">
        <v>58</v>
      </c>
      <c r="BI59" s="25">
        <v>47</v>
      </c>
      <c r="BJ59" s="25">
        <v>44</v>
      </c>
      <c r="BK59" s="25">
        <v>43</v>
      </c>
      <c r="BL59" s="25">
        <v>41</v>
      </c>
      <c r="BM59" s="25">
        <v>4</v>
      </c>
      <c r="BN59" s="27">
        <v>4</v>
      </c>
      <c r="BO59" s="27">
        <v>4</v>
      </c>
      <c r="BP59" s="27">
        <v>4</v>
      </c>
      <c r="BQ59" s="27">
        <v>4</v>
      </c>
    </row>
    <row r="60" spans="1:80" x14ac:dyDescent="0.3">
      <c r="A60" s="6">
        <v>693</v>
      </c>
      <c r="B60" t="str">
        <f t="shared" si="5"/>
        <v>Saturday</v>
      </c>
      <c r="C60">
        <f t="shared" si="6"/>
        <v>7</v>
      </c>
      <c r="D60" s="9">
        <f t="shared" si="12"/>
        <v>7</v>
      </c>
      <c r="E60" s="17">
        <f t="shared" si="14"/>
        <v>7</v>
      </c>
      <c r="F60" s="9">
        <f t="shared" si="9"/>
        <v>7</v>
      </c>
      <c r="G60" s="9">
        <f t="shared" si="13"/>
        <v>7</v>
      </c>
      <c r="H60" s="1">
        <v>0.65625</v>
      </c>
      <c r="I60" s="65">
        <v>25</v>
      </c>
      <c r="J60" s="65">
        <v>20</v>
      </c>
      <c r="K60" s="59" t="s">
        <v>7</v>
      </c>
      <c r="L60" s="59" t="s">
        <v>7</v>
      </c>
      <c r="M60">
        <v>45</v>
      </c>
      <c r="N60" t="s">
        <v>138</v>
      </c>
      <c r="O60" t="s">
        <v>952</v>
      </c>
      <c r="P60" s="7" t="s">
        <v>37</v>
      </c>
      <c r="Q60" t="s">
        <v>103</v>
      </c>
      <c r="R60" t="s">
        <v>58</v>
      </c>
      <c r="S60" t="s">
        <v>138</v>
      </c>
      <c r="T60" s="38" t="s">
        <v>961</v>
      </c>
      <c r="U60" t="s">
        <v>23</v>
      </c>
      <c r="V60">
        <v>0</v>
      </c>
      <c r="W60">
        <v>5</v>
      </c>
      <c r="X60">
        <v>0</v>
      </c>
      <c r="Y60">
        <v>0</v>
      </c>
      <c r="Z60">
        <v>7</v>
      </c>
      <c r="AA60">
        <v>0</v>
      </c>
      <c r="AB60" t="s">
        <v>7</v>
      </c>
      <c r="AC60" t="s">
        <v>7</v>
      </c>
      <c r="AD60" t="s">
        <v>45</v>
      </c>
      <c r="AE60" t="s">
        <v>43</v>
      </c>
      <c r="AF60" s="7" t="str">
        <f t="shared" si="4"/>
        <v>Y</v>
      </c>
      <c r="AG60">
        <v>34</v>
      </c>
      <c r="AH60">
        <v>0</v>
      </c>
      <c r="AI60">
        <f t="shared" si="11"/>
        <v>34</v>
      </c>
      <c r="AJ60" t="s">
        <v>13</v>
      </c>
      <c r="AK60" s="50" t="s">
        <v>7</v>
      </c>
      <c r="AL60" s="49" t="s">
        <v>1012</v>
      </c>
      <c r="AM60" s="50" t="s">
        <v>7</v>
      </c>
      <c r="AN60" s="52" t="s">
        <v>1077</v>
      </c>
      <c r="AT60" t="s">
        <v>23</v>
      </c>
      <c r="AU60" t="s">
        <v>23</v>
      </c>
      <c r="AV60" t="s">
        <v>231</v>
      </c>
      <c r="AW60" t="s">
        <v>231</v>
      </c>
      <c r="AX60" t="s">
        <v>231</v>
      </c>
      <c r="AY60" t="s">
        <v>231</v>
      </c>
      <c r="AZ60">
        <v>0</v>
      </c>
      <c r="BA60">
        <v>0</v>
      </c>
      <c r="BB60">
        <v>0</v>
      </c>
      <c r="BC60">
        <v>0</v>
      </c>
      <c r="BD60">
        <v>2</v>
      </c>
      <c r="BE60">
        <v>2</v>
      </c>
      <c r="BF60">
        <v>2</v>
      </c>
      <c r="BG60">
        <v>2</v>
      </c>
      <c r="BH60" s="25">
        <v>59</v>
      </c>
      <c r="BI60" s="25">
        <v>48</v>
      </c>
      <c r="BJ60" s="25">
        <v>45</v>
      </c>
      <c r="BK60" s="25">
        <v>44</v>
      </c>
      <c r="BL60" s="25">
        <v>42</v>
      </c>
      <c r="BM60" s="25">
        <v>5</v>
      </c>
      <c r="BN60" s="27">
        <v>5</v>
      </c>
      <c r="BO60" s="27">
        <v>5</v>
      </c>
      <c r="BP60" s="27">
        <v>5</v>
      </c>
      <c r="BQ60" s="27">
        <v>5</v>
      </c>
    </row>
    <row r="61" spans="1:80" x14ac:dyDescent="0.3">
      <c r="A61" s="6">
        <v>698</v>
      </c>
      <c r="B61" t="str">
        <f t="shared" si="5"/>
        <v>Thursday</v>
      </c>
      <c r="C61">
        <f t="shared" si="6"/>
        <v>5</v>
      </c>
      <c r="D61" s="9">
        <f t="shared" si="12"/>
        <v>5</v>
      </c>
      <c r="E61" s="17">
        <f t="shared" si="14"/>
        <v>5</v>
      </c>
      <c r="F61" s="9">
        <f t="shared" si="9"/>
        <v>5</v>
      </c>
      <c r="G61" s="9">
        <f t="shared" si="13"/>
        <v>5</v>
      </c>
      <c r="H61" s="1">
        <v>0.64583333333333337</v>
      </c>
      <c r="I61" s="60">
        <v>25</v>
      </c>
      <c r="J61" s="60">
        <v>25</v>
      </c>
      <c r="K61" s="59" t="s">
        <v>7</v>
      </c>
      <c r="L61" s="59" t="s">
        <v>7</v>
      </c>
      <c r="M61">
        <v>50</v>
      </c>
      <c r="N61" t="s">
        <v>138</v>
      </c>
      <c r="O61" t="s">
        <v>952</v>
      </c>
      <c r="P61" s="7" t="s">
        <v>37</v>
      </c>
      <c r="Q61" t="s">
        <v>112</v>
      </c>
      <c r="R61" t="s">
        <v>113</v>
      </c>
      <c r="S61" t="s">
        <v>19</v>
      </c>
      <c r="T61" t="s">
        <v>981</v>
      </c>
      <c r="U61" t="s">
        <v>23</v>
      </c>
      <c r="V61">
        <v>4</v>
      </c>
      <c r="W61">
        <v>1</v>
      </c>
      <c r="X61">
        <v>0</v>
      </c>
      <c r="Y61">
        <v>4</v>
      </c>
      <c r="Z61">
        <v>2</v>
      </c>
      <c r="AA61">
        <v>0</v>
      </c>
      <c r="AB61" t="s">
        <v>7</v>
      </c>
      <c r="AC61" t="s">
        <v>7</v>
      </c>
      <c r="AD61" t="s">
        <v>45</v>
      </c>
      <c r="AE61" t="s">
        <v>43</v>
      </c>
      <c r="AF61" s="7" t="str">
        <f t="shared" si="4"/>
        <v>N</v>
      </c>
      <c r="AG61">
        <v>27</v>
      </c>
      <c r="AH61">
        <v>6</v>
      </c>
      <c r="AI61">
        <f t="shared" si="11"/>
        <v>21</v>
      </c>
      <c r="AJ61" t="s">
        <v>13</v>
      </c>
      <c r="AK61" s="50" t="s">
        <v>7</v>
      </c>
      <c r="AL61" s="49" t="s">
        <v>1038</v>
      </c>
      <c r="AM61" s="50" t="s">
        <v>7</v>
      </c>
      <c r="AN61" s="52" t="s">
        <v>1078</v>
      </c>
      <c r="AO61">
        <v>600</v>
      </c>
      <c r="AR61" t="s">
        <v>59</v>
      </c>
      <c r="AT61" t="s">
        <v>23</v>
      </c>
      <c r="AU61" t="s">
        <v>23</v>
      </c>
      <c r="AV61" t="s">
        <v>221</v>
      </c>
      <c r="AW61" t="s">
        <v>221</v>
      </c>
      <c r="AX61" t="s">
        <v>221</v>
      </c>
      <c r="AY61" t="s">
        <v>221</v>
      </c>
      <c r="AZ61">
        <v>1</v>
      </c>
      <c r="BA61">
        <v>1</v>
      </c>
      <c r="BB61">
        <v>1</v>
      </c>
      <c r="BC61">
        <v>1</v>
      </c>
      <c r="BD61">
        <v>0</v>
      </c>
      <c r="BE61">
        <v>0</v>
      </c>
      <c r="BF61">
        <v>0</v>
      </c>
      <c r="BG61">
        <v>0</v>
      </c>
      <c r="BH61" s="25">
        <v>60</v>
      </c>
      <c r="BI61" s="25">
        <v>49</v>
      </c>
      <c r="BJ61" s="25">
        <v>46</v>
      </c>
      <c r="BK61" s="25">
        <v>45</v>
      </c>
      <c r="BL61" s="25">
        <v>43</v>
      </c>
      <c r="BM61" s="25">
        <v>6</v>
      </c>
      <c r="BN61" s="27">
        <v>6</v>
      </c>
      <c r="BO61" s="27">
        <v>6</v>
      </c>
      <c r="BP61" s="27">
        <v>6</v>
      </c>
      <c r="BQ61" s="27">
        <v>6</v>
      </c>
      <c r="BR61" s="27" t="s">
        <v>23</v>
      </c>
      <c r="BS61" s="27" t="s">
        <v>23</v>
      </c>
      <c r="BT61" s="71" t="s">
        <v>23</v>
      </c>
      <c r="BU61" s="27" t="s">
        <v>23</v>
      </c>
      <c r="BV61" s="27"/>
      <c r="BW61" s="27"/>
      <c r="BY61" s="71" t="s">
        <v>23</v>
      </c>
      <c r="BZ61" s="7" t="s">
        <v>23</v>
      </c>
      <c r="CA61" s="7" t="s">
        <v>23</v>
      </c>
      <c r="CB61" s="7" t="s">
        <v>23</v>
      </c>
    </row>
    <row r="62" spans="1:80" x14ac:dyDescent="0.3">
      <c r="A62" s="6">
        <v>1000</v>
      </c>
      <c r="B62" t="str">
        <f t="shared" si="5"/>
        <v>Friday</v>
      </c>
      <c r="C62">
        <f t="shared" si="6"/>
        <v>302</v>
      </c>
      <c r="D62" s="13">
        <f t="shared" si="12"/>
        <v>302</v>
      </c>
      <c r="E62" s="17">
        <f t="shared" si="14"/>
        <v>302</v>
      </c>
      <c r="F62" s="9">
        <f t="shared" si="9"/>
        <v>302</v>
      </c>
      <c r="G62" s="9">
        <f t="shared" si="13"/>
        <v>302</v>
      </c>
      <c r="H62" s="1">
        <v>0.66666666666666663</v>
      </c>
      <c r="I62" s="58" t="s">
        <v>7</v>
      </c>
      <c r="J62" s="58" t="s">
        <v>7</v>
      </c>
      <c r="K62" s="59" t="s">
        <v>7</v>
      </c>
      <c r="L62" s="59" t="s">
        <v>7</v>
      </c>
      <c r="M62" t="s">
        <v>7</v>
      </c>
      <c r="N62" t="s">
        <v>19</v>
      </c>
      <c r="O62" t="s">
        <v>953</v>
      </c>
      <c r="P62" s="7" t="s">
        <v>37</v>
      </c>
      <c r="Q62" t="s">
        <v>153</v>
      </c>
      <c r="R62" t="s">
        <v>58</v>
      </c>
      <c r="S62" t="s">
        <v>19</v>
      </c>
      <c r="T62" s="4" t="s">
        <v>959</v>
      </c>
      <c r="U62" t="s">
        <v>154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">
        <v>7</v>
      </c>
      <c r="AC62" t="s">
        <v>7</v>
      </c>
      <c r="AD62" t="s">
        <v>45</v>
      </c>
      <c r="AE62" t="s">
        <v>43</v>
      </c>
      <c r="AF62" s="7" t="str">
        <f t="shared" si="4"/>
        <v>N</v>
      </c>
      <c r="AG62" t="s">
        <v>7</v>
      </c>
      <c r="AH62" t="s">
        <v>7</v>
      </c>
      <c r="AI62" t="s">
        <v>7</v>
      </c>
      <c r="AJ62" t="s">
        <v>7</v>
      </c>
      <c r="AK62" s="50" t="s">
        <v>7</v>
      </c>
      <c r="AL62" s="49" t="s">
        <v>7</v>
      </c>
      <c r="AM62" s="50" t="s">
        <v>7</v>
      </c>
      <c r="AN62" s="52" t="s">
        <v>7</v>
      </c>
      <c r="AO62" t="s">
        <v>7</v>
      </c>
      <c r="AS62" t="s">
        <v>155</v>
      </c>
      <c r="AT62" s="26" t="s">
        <v>28</v>
      </c>
      <c r="AU62" t="s">
        <v>28</v>
      </c>
      <c r="BH62" s="25">
        <v>61</v>
      </c>
      <c r="BM62" s="25">
        <v>1</v>
      </c>
    </row>
    <row r="63" spans="1:80" x14ac:dyDescent="0.3">
      <c r="A63" s="6">
        <v>1008</v>
      </c>
      <c r="B63" t="str">
        <f t="shared" si="5"/>
        <v>Saturday</v>
      </c>
      <c r="C63">
        <f t="shared" si="6"/>
        <v>8</v>
      </c>
      <c r="D63" s="14">
        <f>A63-A61</f>
        <v>310</v>
      </c>
      <c r="E63" s="17">
        <f>A63-A61</f>
        <v>310</v>
      </c>
      <c r="F63" s="9">
        <f>A63-A61</f>
        <v>310</v>
      </c>
      <c r="G63" s="9">
        <f>A63-A61</f>
        <v>310</v>
      </c>
      <c r="K63" s="59" t="s">
        <v>7</v>
      </c>
      <c r="L63" s="59" t="s">
        <v>7</v>
      </c>
      <c r="N63" t="s">
        <v>19</v>
      </c>
      <c r="O63" t="s">
        <v>953</v>
      </c>
      <c r="P63" s="7" t="s">
        <v>38</v>
      </c>
      <c r="Q63" t="s">
        <v>133</v>
      </c>
      <c r="R63" t="s">
        <v>134</v>
      </c>
      <c r="S63" t="s">
        <v>140</v>
      </c>
      <c r="T63" t="s">
        <v>984</v>
      </c>
      <c r="U63" t="s">
        <v>23</v>
      </c>
      <c r="V63">
        <v>0</v>
      </c>
      <c r="W63">
        <v>0</v>
      </c>
      <c r="X63">
        <v>0</v>
      </c>
      <c r="Y63">
        <v>6</v>
      </c>
      <c r="Z63">
        <v>1</v>
      </c>
      <c r="AA63">
        <v>0</v>
      </c>
      <c r="AB63" t="s">
        <v>7</v>
      </c>
      <c r="AC63" t="s">
        <v>7</v>
      </c>
      <c r="AD63" t="s">
        <v>156</v>
      </c>
      <c r="AE63" t="s">
        <v>134</v>
      </c>
      <c r="AF63" s="7" t="str">
        <f t="shared" si="4"/>
        <v>N</v>
      </c>
      <c r="AG63">
        <v>5</v>
      </c>
      <c r="AH63">
        <v>11</v>
      </c>
      <c r="AI63">
        <f t="shared" ref="AI63:AI69" si="15">AG63-AH63</f>
        <v>-6</v>
      </c>
      <c r="AJ63" t="s">
        <v>47</v>
      </c>
      <c r="AK63" s="50" t="s">
        <v>7</v>
      </c>
      <c r="AL63" s="49" t="s">
        <v>1035</v>
      </c>
      <c r="AM63" s="50" t="s">
        <v>7</v>
      </c>
      <c r="AN63" s="52" t="s">
        <v>1069</v>
      </c>
      <c r="AT63" t="s">
        <v>23</v>
      </c>
      <c r="AU63" t="s">
        <v>23</v>
      </c>
      <c r="AV63" t="s">
        <v>223</v>
      </c>
      <c r="AW63" t="s">
        <v>223</v>
      </c>
      <c r="AX63" t="s">
        <v>223</v>
      </c>
      <c r="AY63" t="s">
        <v>223</v>
      </c>
      <c r="AZ63">
        <v>2</v>
      </c>
      <c r="BA63">
        <v>2</v>
      </c>
      <c r="BB63">
        <v>2</v>
      </c>
      <c r="BC63">
        <v>2</v>
      </c>
      <c r="BD63">
        <v>0</v>
      </c>
      <c r="BE63">
        <v>0</v>
      </c>
      <c r="BF63">
        <v>0</v>
      </c>
      <c r="BG63">
        <v>0</v>
      </c>
      <c r="BH63" s="25">
        <v>62</v>
      </c>
      <c r="BI63" s="25">
        <v>50</v>
      </c>
      <c r="BJ63" s="25">
        <v>47</v>
      </c>
      <c r="BK63" s="25">
        <v>46</v>
      </c>
      <c r="BL63" s="25">
        <v>44</v>
      </c>
      <c r="BM63" s="25">
        <v>2</v>
      </c>
      <c r="BN63" s="27">
        <v>1</v>
      </c>
      <c r="BO63" s="27">
        <v>1</v>
      </c>
      <c r="BP63" s="27">
        <v>1</v>
      </c>
      <c r="BQ63" s="27">
        <v>1</v>
      </c>
    </row>
    <row r="64" spans="1:80" x14ac:dyDescent="0.3">
      <c r="A64" s="6">
        <v>1010</v>
      </c>
      <c r="B64" t="str">
        <f t="shared" si="5"/>
        <v>Monday</v>
      </c>
      <c r="C64">
        <f t="shared" si="6"/>
        <v>2</v>
      </c>
      <c r="D64" s="9">
        <f t="shared" ref="D64:D70" si="16">A64-A63</f>
        <v>2</v>
      </c>
      <c r="E64" s="17">
        <f t="shared" si="14"/>
        <v>2</v>
      </c>
      <c r="F64" s="9">
        <f t="shared" si="9"/>
        <v>2</v>
      </c>
      <c r="G64" s="9">
        <f>A64-A63</f>
        <v>2</v>
      </c>
      <c r="K64" s="59" t="s">
        <v>7</v>
      </c>
      <c r="L64" s="59" t="s">
        <v>7</v>
      </c>
      <c r="N64" t="s">
        <v>19</v>
      </c>
      <c r="O64" t="s">
        <v>953</v>
      </c>
      <c r="P64" s="7" t="s">
        <v>38</v>
      </c>
      <c r="Q64" t="s">
        <v>157</v>
      </c>
      <c r="R64" t="s">
        <v>158</v>
      </c>
      <c r="S64" t="s">
        <v>140</v>
      </c>
      <c r="T64" t="s">
        <v>985</v>
      </c>
      <c r="U64" t="s">
        <v>23</v>
      </c>
      <c r="V64">
        <v>1</v>
      </c>
      <c r="W64">
        <v>0</v>
      </c>
      <c r="X64">
        <v>0</v>
      </c>
      <c r="Y64">
        <v>4</v>
      </c>
      <c r="Z64">
        <v>3</v>
      </c>
      <c r="AA64">
        <v>4</v>
      </c>
      <c r="AB64" t="s">
        <v>7</v>
      </c>
      <c r="AC64" t="s">
        <v>7</v>
      </c>
      <c r="AD64" t="s">
        <v>159</v>
      </c>
      <c r="AE64" t="s">
        <v>158</v>
      </c>
      <c r="AF64" s="7" t="str">
        <f t="shared" si="4"/>
        <v>N</v>
      </c>
      <c r="AG64">
        <v>0</v>
      </c>
      <c r="AH64">
        <v>0</v>
      </c>
      <c r="AI64">
        <f t="shared" si="15"/>
        <v>0</v>
      </c>
      <c r="AJ64" t="s">
        <v>91</v>
      </c>
      <c r="AK64" s="50" t="s">
        <v>7</v>
      </c>
      <c r="AL64" s="49" t="s">
        <v>253</v>
      </c>
      <c r="AM64" s="50" t="s">
        <v>7</v>
      </c>
      <c r="AN64" s="52" t="s">
        <v>1034</v>
      </c>
      <c r="AT64" t="s">
        <v>23</v>
      </c>
      <c r="AU64" t="s">
        <v>23</v>
      </c>
      <c r="AV64" t="s">
        <v>222</v>
      </c>
      <c r="AW64" t="s">
        <v>222</v>
      </c>
      <c r="AX64" t="s">
        <v>222</v>
      </c>
      <c r="AY64" t="s">
        <v>222</v>
      </c>
      <c r="AZ64">
        <v>0</v>
      </c>
      <c r="BA64">
        <v>0</v>
      </c>
      <c r="BB64">
        <v>0</v>
      </c>
      <c r="BC64">
        <v>0</v>
      </c>
      <c r="BD64">
        <v>1</v>
      </c>
      <c r="BE64">
        <v>1</v>
      </c>
      <c r="BF64">
        <v>1</v>
      </c>
      <c r="BG64">
        <v>1</v>
      </c>
      <c r="BH64" s="25">
        <v>63</v>
      </c>
      <c r="BI64" s="25">
        <v>51</v>
      </c>
      <c r="BJ64" s="25">
        <v>48</v>
      </c>
      <c r="BK64" s="25">
        <v>47</v>
      </c>
      <c r="BL64" s="25">
        <v>45</v>
      </c>
      <c r="BM64" s="25">
        <v>3</v>
      </c>
      <c r="BN64" s="27">
        <v>2</v>
      </c>
      <c r="BO64" s="27">
        <v>2</v>
      </c>
      <c r="BP64" s="27">
        <v>2</v>
      </c>
      <c r="BQ64" s="27">
        <v>2</v>
      </c>
    </row>
    <row r="65" spans="1:80" x14ac:dyDescent="0.3">
      <c r="A65" s="6">
        <v>1017</v>
      </c>
      <c r="B65" t="str">
        <f t="shared" si="5"/>
        <v>Monday</v>
      </c>
      <c r="C65">
        <f t="shared" si="6"/>
        <v>7</v>
      </c>
      <c r="D65" s="9">
        <f t="shared" si="16"/>
        <v>7</v>
      </c>
      <c r="E65" s="17">
        <f t="shared" si="14"/>
        <v>7</v>
      </c>
      <c r="F65" s="9">
        <f t="shared" si="9"/>
        <v>7</v>
      </c>
      <c r="G65" s="9">
        <f t="shared" ref="G65:G104" si="17">A65-A64</f>
        <v>7</v>
      </c>
      <c r="H65" s="1">
        <v>0.64583333333333337</v>
      </c>
      <c r="I65" s="58">
        <v>20</v>
      </c>
      <c r="J65" s="58">
        <v>20</v>
      </c>
      <c r="K65" s="59" t="s">
        <v>7</v>
      </c>
      <c r="L65" s="59" t="s">
        <v>7</v>
      </c>
      <c r="M65">
        <v>40</v>
      </c>
      <c r="N65" t="s">
        <v>19</v>
      </c>
      <c r="O65" t="s">
        <v>953</v>
      </c>
      <c r="P65" s="7" t="s">
        <v>37</v>
      </c>
      <c r="Q65" t="s">
        <v>157</v>
      </c>
      <c r="R65" t="s">
        <v>158</v>
      </c>
      <c r="S65" t="s">
        <v>140</v>
      </c>
      <c r="T65" t="s">
        <v>985</v>
      </c>
      <c r="U65" t="s">
        <v>23</v>
      </c>
      <c r="V65">
        <v>2</v>
      </c>
      <c r="W65">
        <v>1</v>
      </c>
      <c r="X65">
        <v>1</v>
      </c>
      <c r="Y65">
        <v>4</v>
      </c>
      <c r="Z65">
        <v>3</v>
      </c>
      <c r="AA65">
        <v>4</v>
      </c>
      <c r="AB65" t="s">
        <v>7</v>
      </c>
      <c r="AC65" t="s">
        <v>7</v>
      </c>
      <c r="AD65" t="s">
        <v>45</v>
      </c>
      <c r="AE65" t="s">
        <v>43</v>
      </c>
      <c r="AF65" s="7" t="str">
        <f t="shared" si="4"/>
        <v>N</v>
      </c>
      <c r="AG65">
        <v>2</v>
      </c>
      <c r="AH65">
        <v>5</v>
      </c>
      <c r="AI65">
        <f t="shared" si="15"/>
        <v>-3</v>
      </c>
      <c r="AJ65" t="s">
        <v>47</v>
      </c>
      <c r="AK65" s="50" t="s">
        <v>7</v>
      </c>
      <c r="AL65" s="49" t="s">
        <v>623</v>
      </c>
      <c r="AM65" s="50" t="s">
        <v>7</v>
      </c>
      <c r="AN65" s="52" t="s">
        <v>1079</v>
      </c>
      <c r="AT65" t="s">
        <v>23</v>
      </c>
      <c r="AU65" t="s">
        <v>23</v>
      </c>
      <c r="AV65" t="s">
        <v>237</v>
      </c>
      <c r="AW65" t="s">
        <v>237</v>
      </c>
      <c r="AX65" t="s">
        <v>237</v>
      </c>
      <c r="AY65" t="s">
        <v>237</v>
      </c>
      <c r="AZ65">
        <v>1</v>
      </c>
      <c r="BA65">
        <v>1</v>
      </c>
      <c r="BB65">
        <v>1</v>
      </c>
      <c r="BC65">
        <v>1</v>
      </c>
      <c r="BD65">
        <v>2</v>
      </c>
      <c r="BE65">
        <v>2</v>
      </c>
      <c r="BF65">
        <v>2</v>
      </c>
      <c r="BG65">
        <v>2</v>
      </c>
      <c r="BH65" s="25">
        <v>64</v>
      </c>
      <c r="BI65" s="25">
        <v>52</v>
      </c>
      <c r="BJ65" s="25">
        <v>49</v>
      </c>
      <c r="BK65" s="25">
        <v>48</v>
      </c>
      <c r="BL65" s="25">
        <v>46</v>
      </c>
      <c r="BM65" s="25">
        <v>4</v>
      </c>
      <c r="BN65" s="27">
        <v>3</v>
      </c>
      <c r="BO65" s="27">
        <v>3</v>
      </c>
      <c r="BP65" s="27">
        <v>3</v>
      </c>
      <c r="BQ65" s="27">
        <v>3</v>
      </c>
    </row>
    <row r="66" spans="1:80" x14ac:dyDescent="0.3">
      <c r="A66" s="6">
        <v>1022</v>
      </c>
      <c r="B66" t="str">
        <f t="shared" si="5"/>
        <v>Saturday</v>
      </c>
      <c r="C66">
        <f t="shared" si="6"/>
        <v>5</v>
      </c>
      <c r="D66" s="9">
        <f t="shared" si="16"/>
        <v>5</v>
      </c>
      <c r="E66" s="17">
        <f t="shared" si="14"/>
        <v>5</v>
      </c>
      <c r="F66" s="9">
        <f t="shared" si="9"/>
        <v>5</v>
      </c>
      <c r="G66" s="9">
        <f t="shared" si="17"/>
        <v>5</v>
      </c>
      <c r="I66" s="58">
        <v>20</v>
      </c>
      <c r="J66" s="58">
        <v>20</v>
      </c>
      <c r="K66" s="59" t="s">
        <v>7</v>
      </c>
      <c r="L66" s="59" t="s">
        <v>7</v>
      </c>
      <c r="M66">
        <v>40</v>
      </c>
      <c r="N66" t="s">
        <v>19</v>
      </c>
      <c r="O66" t="s">
        <v>953</v>
      </c>
      <c r="P66" s="7" t="s">
        <v>38</v>
      </c>
      <c r="Q66" t="s">
        <v>900</v>
      </c>
      <c r="R66" t="s">
        <v>145</v>
      </c>
      <c r="S66" t="s">
        <v>736</v>
      </c>
      <c r="T66" t="s">
        <v>986</v>
      </c>
      <c r="U66" t="s">
        <v>23</v>
      </c>
      <c r="V66">
        <v>0</v>
      </c>
      <c r="W66">
        <v>1</v>
      </c>
      <c r="X66">
        <v>0</v>
      </c>
      <c r="Y66">
        <v>3</v>
      </c>
      <c r="Z66">
        <v>2</v>
      </c>
      <c r="AA66">
        <v>1</v>
      </c>
      <c r="AB66" t="s">
        <v>7</v>
      </c>
      <c r="AC66" t="s">
        <v>7</v>
      </c>
      <c r="AD66" t="s">
        <v>160</v>
      </c>
      <c r="AE66" t="s">
        <v>145</v>
      </c>
      <c r="AF66" s="7" t="str">
        <f t="shared" ref="AF66:AF97" si="18">IF(ISBLANK(S66)," ",IF(AND(S66=N66,N66&lt;&gt;"Independent"),"Y","N"))</f>
        <v>N</v>
      </c>
      <c r="AG66">
        <v>6</v>
      </c>
      <c r="AH66">
        <v>11</v>
      </c>
      <c r="AI66">
        <f t="shared" si="15"/>
        <v>-5</v>
      </c>
      <c r="AJ66" t="s">
        <v>47</v>
      </c>
      <c r="AK66" s="50" t="s">
        <v>7</v>
      </c>
      <c r="AL66" s="49" t="s">
        <v>1039</v>
      </c>
      <c r="AM66" s="50" t="s">
        <v>7</v>
      </c>
      <c r="AN66" s="52" t="s">
        <v>1080</v>
      </c>
      <c r="AT66" t="s">
        <v>23</v>
      </c>
      <c r="AU66" t="s">
        <v>23</v>
      </c>
      <c r="AV66" t="s">
        <v>222</v>
      </c>
      <c r="AW66" t="s">
        <v>222</v>
      </c>
      <c r="AX66" t="s">
        <v>222</v>
      </c>
      <c r="AY66" t="s">
        <v>222</v>
      </c>
      <c r="AZ66">
        <v>0</v>
      </c>
      <c r="BA66">
        <v>0</v>
      </c>
      <c r="BB66">
        <v>0</v>
      </c>
      <c r="BC66">
        <v>0</v>
      </c>
      <c r="BD66">
        <v>3</v>
      </c>
      <c r="BE66">
        <v>3</v>
      </c>
      <c r="BF66">
        <v>3</v>
      </c>
      <c r="BG66">
        <v>3</v>
      </c>
      <c r="BH66" s="25">
        <v>65</v>
      </c>
      <c r="BI66" s="25">
        <v>53</v>
      </c>
      <c r="BJ66" s="25">
        <v>50</v>
      </c>
      <c r="BK66" s="25">
        <v>49</v>
      </c>
      <c r="BL66" s="25">
        <v>47</v>
      </c>
      <c r="BM66" s="25">
        <v>5</v>
      </c>
      <c r="BN66" s="27">
        <v>4</v>
      </c>
      <c r="BO66" s="27">
        <v>4</v>
      </c>
      <c r="BP66" s="27">
        <v>4</v>
      </c>
      <c r="BQ66" s="27">
        <v>4</v>
      </c>
    </row>
    <row r="67" spans="1:80" x14ac:dyDescent="0.3">
      <c r="A67" s="6">
        <v>1024</v>
      </c>
      <c r="B67" t="str">
        <f t="shared" si="5"/>
        <v>Monday</v>
      </c>
      <c r="C67">
        <f t="shared" si="6"/>
        <v>2</v>
      </c>
      <c r="D67" s="9">
        <f t="shared" si="16"/>
        <v>2</v>
      </c>
      <c r="E67" s="17">
        <f t="shared" si="14"/>
        <v>2</v>
      </c>
      <c r="F67" s="9">
        <f t="shared" si="9"/>
        <v>2</v>
      </c>
      <c r="G67" s="9">
        <f t="shared" si="17"/>
        <v>2</v>
      </c>
      <c r="H67" s="1">
        <v>0.64583333333333337</v>
      </c>
      <c r="K67" s="59" t="s">
        <v>7</v>
      </c>
      <c r="L67" s="59" t="s">
        <v>7</v>
      </c>
      <c r="N67" t="s">
        <v>19</v>
      </c>
      <c r="O67" t="s">
        <v>953</v>
      </c>
      <c r="P67" s="7" t="s">
        <v>28</v>
      </c>
      <c r="Q67" t="s">
        <v>161</v>
      </c>
      <c r="R67" t="s">
        <v>162</v>
      </c>
      <c r="S67" t="s">
        <v>19</v>
      </c>
      <c r="T67" t="s">
        <v>987</v>
      </c>
      <c r="U67" t="s">
        <v>33</v>
      </c>
      <c r="V67">
        <v>1</v>
      </c>
      <c r="W67">
        <v>1</v>
      </c>
      <c r="X67">
        <v>1</v>
      </c>
      <c r="Y67">
        <v>2</v>
      </c>
      <c r="Z67">
        <v>3</v>
      </c>
      <c r="AA67">
        <v>2</v>
      </c>
      <c r="AB67" t="s">
        <v>7</v>
      </c>
      <c r="AC67" t="s">
        <v>7</v>
      </c>
      <c r="AD67" t="s">
        <v>163</v>
      </c>
      <c r="AE67" t="s">
        <v>164</v>
      </c>
      <c r="AF67" s="7" t="str">
        <f t="shared" si="18"/>
        <v>N</v>
      </c>
      <c r="AG67">
        <v>5</v>
      </c>
      <c r="AH67">
        <v>0</v>
      </c>
      <c r="AI67">
        <f t="shared" si="15"/>
        <v>5</v>
      </c>
      <c r="AJ67" t="s">
        <v>13</v>
      </c>
      <c r="AK67" s="50" t="s">
        <v>7</v>
      </c>
      <c r="AL67" s="49" t="s">
        <v>492</v>
      </c>
      <c r="AM67" s="50" t="s">
        <v>7</v>
      </c>
      <c r="AN67" s="52" t="s">
        <v>1081</v>
      </c>
      <c r="AS67" t="s">
        <v>165</v>
      </c>
      <c r="AT67" t="s">
        <v>23</v>
      </c>
      <c r="AU67" t="s">
        <v>23</v>
      </c>
      <c r="AV67" t="s">
        <v>231</v>
      </c>
      <c r="AW67" t="s">
        <v>231</v>
      </c>
      <c r="AX67" t="s">
        <v>231</v>
      </c>
      <c r="AY67" t="s">
        <v>231</v>
      </c>
      <c r="AZ67">
        <v>0</v>
      </c>
      <c r="BA67">
        <v>0</v>
      </c>
      <c r="BB67">
        <v>0</v>
      </c>
      <c r="BC67">
        <v>0</v>
      </c>
      <c r="BD67">
        <v>4</v>
      </c>
      <c r="BE67">
        <v>4</v>
      </c>
      <c r="BF67">
        <v>4</v>
      </c>
      <c r="BG67">
        <v>4</v>
      </c>
      <c r="BH67" s="25">
        <v>66</v>
      </c>
      <c r="BI67" s="25">
        <v>54</v>
      </c>
      <c r="BJ67" s="25">
        <v>51</v>
      </c>
      <c r="BK67" s="25">
        <v>50</v>
      </c>
      <c r="BL67" s="25">
        <v>48</v>
      </c>
      <c r="BM67" s="25">
        <v>6</v>
      </c>
      <c r="BN67" s="27">
        <v>5</v>
      </c>
      <c r="BO67" s="27">
        <v>5</v>
      </c>
      <c r="BP67" s="27">
        <v>5</v>
      </c>
      <c r="BQ67" s="27">
        <v>5</v>
      </c>
    </row>
    <row r="68" spans="1:80" x14ac:dyDescent="0.3">
      <c r="A68" s="6">
        <v>1035</v>
      </c>
      <c r="B68" t="str">
        <f t="shared" si="5"/>
        <v>Friday</v>
      </c>
      <c r="C68">
        <f t="shared" si="6"/>
        <v>11</v>
      </c>
      <c r="D68" s="9">
        <f t="shared" si="16"/>
        <v>11</v>
      </c>
      <c r="E68" s="17">
        <f t="shared" si="14"/>
        <v>11</v>
      </c>
      <c r="F68" s="9">
        <f t="shared" si="9"/>
        <v>11</v>
      </c>
      <c r="G68" s="9">
        <f t="shared" si="17"/>
        <v>11</v>
      </c>
      <c r="H68" s="1">
        <v>0.60416666666666663</v>
      </c>
      <c r="I68" s="58">
        <v>20</v>
      </c>
      <c r="J68" s="58">
        <v>20</v>
      </c>
      <c r="K68" s="59" t="s">
        <v>7</v>
      </c>
      <c r="L68" s="59" t="s">
        <v>7</v>
      </c>
      <c r="M68">
        <v>40</v>
      </c>
      <c r="N68" t="s">
        <v>19</v>
      </c>
      <c r="O68" t="s">
        <v>953</v>
      </c>
      <c r="P68" s="7" t="s">
        <v>37</v>
      </c>
      <c r="Q68" t="s">
        <v>103</v>
      </c>
      <c r="R68" t="s">
        <v>58</v>
      </c>
      <c r="S68" t="s">
        <v>19</v>
      </c>
      <c r="T68" s="38" t="s">
        <v>961</v>
      </c>
      <c r="U68" t="s">
        <v>23</v>
      </c>
      <c r="V68">
        <v>2</v>
      </c>
      <c r="W68">
        <v>2</v>
      </c>
      <c r="X68">
        <v>0</v>
      </c>
      <c r="Y68">
        <v>4</v>
      </c>
      <c r="Z68">
        <v>3</v>
      </c>
      <c r="AA68">
        <v>1</v>
      </c>
      <c r="AB68" t="s">
        <v>7</v>
      </c>
      <c r="AC68" t="s">
        <v>7</v>
      </c>
      <c r="AD68" t="s">
        <v>45</v>
      </c>
      <c r="AE68" t="s">
        <v>43</v>
      </c>
      <c r="AF68" s="7" t="str">
        <f t="shared" si="18"/>
        <v>N</v>
      </c>
      <c r="AG68">
        <v>29</v>
      </c>
      <c r="AH68">
        <v>5</v>
      </c>
      <c r="AI68">
        <f t="shared" si="15"/>
        <v>24</v>
      </c>
      <c r="AJ68" t="s">
        <v>13</v>
      </c>
      <c r="AK68" s="50" t="s">
        <v>7</v>
      </c>
      <c r="AL68" s="49" t="s">
        <v>1040</v>
      </c>
      <c r="AM68" s="50" t="s">
        <v>7</v>
      </c>
      <c r="AN68" s="52" t="s">
        <v>1082</v>
      </c>
      <c r="AO68">
        <f>(5000+2000)/2</f>
        <v>3500</v>
      </c>
      <c r="AP68" s="60">
        <v>2000</v>
      </c>
      <c r="AQ68" s="60">
        <v>5000</v>
      </c>
      <c r="AR68" t="s">
        <v>26</v>
      </c>
      <c r="AT68" t="s">
        <v>23</v>
      </c>
      <c r="AU68" t="s">
        <v>23</v>
      </c>
      <c r="AV68" t="s">
        <v>221</v>
      </c>
      <c r="AW68" t="s">
        <v>221</v>
      </c>
      <c r="AX68" t="s">
        <v>221</v>
      </c>
      <c r="AY68" t="s">
        <v>221</v>
      </c>
      <c r="AZ68">
        <v>1</v>
      </c>
      <c r="BA68">
        <v>1</v>
      </c>
      <c r="BB68">
        <v>1</v>
      </c>
      <c r="BC68">
        <v>1</v>
      </c>
      <c r="BD68">
        <v>0</v>
      </c>
      <c r="BE68">
        <v>0</v>
      </c>
      <c r="BF68">
        <v>0</v>
      </c>
      <c r="BG68">
        <v>0</v>
      </c>
      <c r="BH68" s="25">
        <v>67</v>
      </c>
      <c r="BI68" s="25">
        <v>55</v>
      </c>
      <c r="BJ68" s="25">
        <v>52</v>
      </c>
      <c r="BK68" s="25">
        <v>51</v>
      </c>
      <c r="BL68" s="25">
        <v>49</v>
      </c>
      <c r="BM68" s="25">
        <v>7</v>
      </c>
      <c r="BN68" s="27">
        <v>6</v>
      </c>
      <c r="BO68" s="27">
        <v>6</v>
      </c>
      <c r="BP68" s="27">
        <v>6</v>
      </c>
      <c r="BQ68" s="27">
        <v>6</v>
      </c>
    </row>
    <row r="69" spans="1:80" x14ac:dyDescent="0.3">
      <c r="A69" s="6">
        <v>1043</v>
      </c>
      <c r="B69" t="str">
        <f t="shared" si="5"/>
        <v>Saturday</v>
      </c>
      <c r="C69">
        <f t="shared" si="6"/>
        <v>8</v>
      </c>
      <c r="D69" s="9">
        <f t="shared" si="16"/>
        <v>8</v>
      </c>
      <c r="E69" s="17">
        <f t="shared" si="14"/>
        <v>8</v>
      </c>
      <c r="F69" s="9">
        <f t="shared" si="9"/>
        <v>8</v>
      </c>
      <c r="G69" s="9">
        <f t="shared" si="17"/>
        <v>8</v>
      </c>
      <c r="H69" s="1">
        <v>0.64930555555555558</v>
      </c>
      <c r="I69" s="66">
        <v>25</v>
      </c>
      <c r="J69" s="66">
        <v>20</v>
      </c>
      <c r="K69" s="59" t="s">
        <v>7</v>
      </c>
      <c r="L69" s="59" t="s">
        <v>7</v>
      </c>
      <c r="M69">
        <v>45</v>
      </c>
      <c r="N69" t="s">
        <v>19</v>
      </c>
      <c r="O69" t="s">
        <v>953</v>
      </c>
      <c r="P69" s="7" t="s">
        <v>37</v>
      </c>
      <c r="Q69" t="s">
        <v>65</v>
      </c>
      <c r="R69" t="s">
        <v>46</v>
      </c>
      <c r="S69" t="s">
        <v>19</v>
      </c>
      <c r="T69" t="s">
        <v>988</v>
      </c>
      <c r="U69" t="s">
        <v>23</v>
      </c>
      <c r="V69">
        <v>5</v>
      </c>
      <c r="W69">
        <v>0</v>
      </c>
      <c r="X69">
        <v>1</v>
      </c>
      <c r="Y69">
        <v>5</v>
      </c>
      <c r="Z69">
        <v>1</v>
      </c>
      <c r="AA69">
        <v>3</v>
      </c>
      <c r="AB69" t="s">
        <v>7</v>
      </c>
      <c r="AC69" t="s">
        <v>7</v>
      </c>
      <c r="AD69" t="s">
        <v>45</v>
      </c>
      <c r="AE69" t="s">
        <v>43</v>
      </c>
      <c r="AF69" s="7" t="str">
        <f t="shared" si="18"/>
        <v>N</v>
      </c>
      <c r="AG69">
        <v>0</v>
      </c>
      <c r="AH69">
        <v>0</v>
      </c>
      <c r="AI69">
        <f t="shared" si="15"/>
        <v>0</v>
      </c>
      <c r="AJ69" t="s">
        <v>91</v>
      </c>
      <c r="AK69" s="50" t="s">
        <v>7</v>
      </c>
      <c r="AL69" s="49" t="s">
        <v>1034</v>
      </c>
      <c r="AM69" s="50" t="s">
        <v>7</v>
      </c>
      <c r="AN69" s="52" t="s">
        <v>1034</v>
      </c>
      <c r="AO69">
        <f>(800+1500)/2</f>
        <v>1150</v>
      </c>
      <c r="AP69" s="60">
        <v>800</v>
      </c>
      <c r="AQ69" s="60">
        <v>1500</v>
      </c>
      <c r="AS69" t="s">
        <v>88</v>
      </c>
      <c r="AT69" t="s">
        <v>23</v>
      </c>
      <c r="AU69" t="s">
        <v>23</v>
      </c>
      <c r="AV69" t="s">
        <v>223</v>
      </c>
      <c r="AW69" t="s">
        <v>223</v>
      </c>
      <c r="AX69" t="s">
        <v>223</v>
      </c>
      <c r="AY69" t="s">
        <v>223</v>
      </c>
      <c r="AZ69">
        <v>2</v>
      </c>
      <c r="BA69">
        <v>2</v>
      </c>
      <c r="BB69">
        <v>2</v>
      </c>
      <c r="BC69">
        <v>2</v>
      </c>
      <c r="BD69">
        <v>0</v>
      </c>
      <c r="BE69">
        <v>0</v>
      </c>
      <c r="BF69">
        <v>0</v>
      </c>
      <c r="BG69">
        <v>0</v>
      </c>
      <c r="BH69" s="25">
        <v>68</v>
      </c>
      <c r="BI69" s="25">
        <v>56</v>
      </c>
      <c r="BJ69" s="25">
        <v>53</v>
      </c>
      <c r="BK69" s="25">
        <v>52</v>
      </c>
      <c r="BL69" s="25">
        <v>50</v>
      </c>
      <c r="BM69" s="25">
        <v>8</v>
      </c>
      <c r="BN69" s="27">
        <v>7</v>
      </c>
      <c r="BO69" s="27">
        <v>7</v>
      </c>
      <c r="BP69" s="27">
        <v>7</v>
      </c>
      <c r="BQ69" s="27">
        <v>7</v>
      </c>
    </row>
    <row r="70" spans="1:80" x14ac:dyDescent="0.3">
      <c r="A70" s="6">
        <v>1049</v>
      </c>
      <c r="B70" t="str">
        <f t="shared" si="5"/>
        <v>Friday</v>
      </c>
      <c r="C70">
        <f t="shared" si="6"/>
        <v>6</v>
      </c>
      <c r="D70" s="13">
        <f t="shared" si="16"/>
        <v>6</v>
      </c>
      <c r="E70" s="17">
        <f t="shared" si="14"/>
        <v>6</v>
      </c>
      <c r="F70" s="9">
        <f t="shared" si="9"/>
        <v>6</v>
      </c>
      <c r="G70" s="9">
        <f t="shared" si="17"/>
        <v>6</v>
      </c>
      <c r="I70" s="58" t="s">
        <v>7</v>
      </c>
      <c r="J70" s="58" t="s">
        <v>7</v>
      </c>
      <c r="K70" s="59" t="s">
        <v>7</v>
      </c>
      <c r="L70" s="59" t="s">
        <v>7</v>
      </c>
      <c r="M70" t="s">
        <v>7</v>
      </c>
      <c r="N70" t="s">
        <v>19</v>
      </c>
      <c r="O70" t="s">
        <v>953</v>
      </c>
      <c r="P70" s="7" t="s">
        <v>37</v>
      </c>
      <c r="Q70" t="s">
        <v>55</v>
      </c>
      <c r="R70" t="s">
        <v>56</v>
      </c>
      <c r="S70" t="s">
        <v>138</v>
      </c>
      <c r="T70" t="s">
        <v>976</v>
      </c>
      <c r="U70" t="s">
        <v>33</v>
      </c>
      <c r="V70">
        <v>1</v>
      </c>
      <c r="W70">
        <v>3</v>
      </c>
      <c r="X70">
        <v>0</v>
      </c>
      <c r="Y70">
        <v>1</v>
      </c>
      <c r="Z70">
        <v>3</v>
      </c>
      <c r="AA70">
        <v>0</v>
      </c>
      <c r="AB70" t="s">
        <v>7</v>
      </c>
      <c r="AC70" t="s">
        <v>7</v>
      </c>
      <c r="AD70" t="s">
        <v>45</v>
      </c>
      <c r="AE70" t="s">
        <v>43</v>
      </c>
      <c r="AF70" s="7" t="str">
        <f t="shared" si="18"/>
        <v>N</v>
      </c>
      <c r="AG70" t="s">
        <v>7</v>
      </c>
      <c r="AH70" t="s">
        <v>7</v>
      </c>
      <c r="AI70" t="s">
        <v>7</v>
      </c>
      <c r="AJ70" t="s">
        <v>7</v>
      </c>
      <c r="AK70" s="50" t="s">
        <v>7</v>
      </c>
      <c r="AL70" s="49" t="s">
        <v>7</v>
      </c>
      <c r="AM70" s="50" t="s">
        <v>7</v>
      </c>
      <c r="AN70" s="52" t="s">
        <v>7</v>
      </c>
      <c r="AO70" t="s">
        <v>7</v>
      </c>
      <c r="AS70" t="s">
        <v>77</v>
      </c>
      <c r="AT70" s="26" t="s">
        <v>28</v>
      </c>
      <c r="AU70" t="s">
        <v>28</v>
      </c>
      <c r="BH70" s="25">
        <v>69</v>
      </c>
      <c r="BM70" s="25">
        <v>9</v>
      </c>
    </row>
    <row r="71" spans="1:80" x14ac:dyDescent="0.3">
      <c r="A71" s="6">
        <v>1056</v>
      </c>
      <c r="B71" t="str">
        <f t="shared" si="5"/>
        <v>Friday</v>
      </c>
      <c r="C71">
        <f t="shared" si="6"/>
        <v>7</v>
      </c>
      <c r="D71" s="14">
        <f>A71-A69</f>
        <v>13</v>
      </c>
      <c r="E71" s="17">
        <f>A71-A69</f>
        <v>13</v>
      </c>
      <c r="F71" s="9">
        <f>A71-A69</f>
        <v>13</v>
      </c>
      <c r="G71" s="9">
        <f>A71-A69</f>
        <v>13</v>
      </c>
      <c r="H71" s="1">
        <v>0.64583333333333337</v>
      </c>
      <c r="K71" s="59" t="s">
        <v>7</v>
      </c>
      <c r="L71" s="59" t="s">
        <v>7</v>
      </c>
      <c r="N71" t="s">
        <v>19</v>
      </c>
      <c r="O71" t="s">
        <v>953</v>
      </c>
      <c r="P71" s="7" t="s">
        <v>28</v>
      </c>
      <c r="Q71" t="s">
        <v>112</v>
      </c>
      <c r="R71" t="s">
        <v>113</v>
      </c>
      <c r="S71" t="s">
        <v>19</v>
      </c>
      <c r="T71" t="s">
        <v>981</v>
      </c>
      <c r="U71" t="s">
        <v>23</v>
      </c>
      <c r="V71">
        <v>3</v>
      </c>
      <c r="W71">
        <v>4</v>
      </c>
      <c r="X71">
        <v>0</v>
      </c>
      <c r="Y71">
        <v>4</v>
      </c>
      <c r="Z71">
        <v>4</v>
      </c>
      <c r="AA71">
        <v>1</v>
      </c>
      <c r="AB71" t="s">
        <v>7</v>
      </c>
      <c r="AC71" t="s">
        <v>7</v>
      </c>
      <c r="AD71" t="s">
        <v>166</v>
      </c>
      <c r="AE71" t="s">
        <v>58</v>
      </c>
      <c r="AF71" s="7" t="str">
        <f t="shared" si="18"/>
        <v>N</v>
      </c>
      <c r="AG71">
        <v>0</v>
      </c>
      <c r="AH71">
        <v>5</v>
      </c>
      <c r="AI71">
        <f t="shared" ref="AI71:AI78" si="19">AG71-AH71</f>
        <v>-5</v>
      </c>
      <c r="AJ71" t="s">
        <v>47</v>
      </c>
      <c r="AK71" s="50" t="s">
        <v>7</v>
      </c>
      <c r="AL71" s="51" t="s">
        <v>959</v>
      </c>
      <c r="AM71" s="50" t="s">
        <v>7</v>
      </c>
      <c r="AN71" s="52" t="s">
        <v>1067</v>
      </c>
      <c r="AT71" t="s">
        <v>23</v>
      </c>
      <c r="AU71" t="s">
        <v>23</v>
      </c>
      <c r="AV71" t="s">
        <v>237</v>
      </c>
      <c r="AW71" t="s">
        <v>237</v>
      </c>
      <c r="AX71" t="s">
        <v>237</v>
      </c>
      <c r="AY71" t="s">
        <v>237</v>
      </c>
      <c r="AZ71">
        <v>1</v>
      </c>
      <c r="BA71">
        <v>3</v>
      </c>
      <c r="BB71">
        <v>1</v>
      </c>
      <c r="BC71">
        <v>3</v>
      </c>
      <c r="BD71">
        <v>1</v>
      </c>
      <c r="BE71">
        <v>1</v>
      </c>
      <c r="BF71">
        <v>1</v>
      </c>
      <c r="BG71">
        <v>1</v>
      </c>
      <c r="BH71" s="25">
        <v>70</v>
      </c>
      <c r="BI71" s="25">
        <v>57</v>
      </c>
      <c r="BJ71" s="25">
        <v>54</v>
      </c>
      <c r="BK71" s="25">
        <v>53</v>
      </c>
      <c r="BL71" s="25">
        <v>51</v>
      </c>
      <c r="BM71" s="25">
        <v>10</v>
      </c>
      <c r="BN71" s="27">
        <v>8</v>
      </c>
      <c r="BO71" s="27">
        <v>8</v>
      </c>
      <c r="BP71" s="27">
        <v>8</v>
      </c>
      <c r="BQ71" s="27">
        <v>8</v>
      </c>
    </row>
    <row r="72" spans="1:80" x14ac:dyDescent="0.3">
      <c r="A72" s="6">
        <v>1062</v>
      </c>
      <c r="B72" t="str">
        <f t="shared" si="5"/>
        <v>Thursday</v>
      </c>
      <c r="C72">
        <f t="shared" si="6"/>
        <v>6</v>
      </c>
      <c r="D72" s="9">
        <f t="shared" ref="D72:D79" si="20">A72-A71</f>
        <v>6</v>
      </c>
      <c r="E72" s="17">
        <f t="shared" si="14"/>
        <v>6</v>
      </c>
      <c r="F72" s="9">
        <f t="shared" si="9"/>
        <v>6</v>
      </c>
      <c r="G72" s="9">
        <f t="shared" si="17"/>
        <v>6</v>
      </c>
      <c r="H72" s="1">
        <v>0.64583333333333337</v>
      </c>
      <c r="I72" s="66">
        <v>25</v>
      </c>
      <c r="J72" s="66">
        <v>20</v>
      </c>
      <c r="K72" s="59" t="s">
        <v>7</v>
      </c>
      <c r="L72" s="59" t="s">
        <v>7</v>
      </c>
      <c r="M72">
        <v>45</v>
      </c>
      <c r="N72" t="s">
        <v>19</v>
      </c>
      <c r="O72" t="s">
        <v>953</v>
      </c>
      <c r="P72" s="7" t="s">
        <v>37</v>
      </c>
      <c r="Q72" t="s">
        <v>86</v>
      </c>
      <c r="R72" t="s">
        <v>87</v>
      </c>
      <c r="S72" t="s">
        <v>736</v>
      </c>
      <c r="T72" t="s">
        <v>989</v>
      </c>
      <c r="U72" t="s">
        <v>23</v>
      </c>
      <c r="V72">
        <v>3</v>
      </c>
      <c r="W72">
        <v>2</v>
      </c>
      <c r="X72">
        <v>0</v>
      </c>
      <c r="Y72">
        <v>3</v>
      </c>
      <c r="Z72">
        <v>3</v>
      </c>
      <c r="AA72">
        <v>0</v>
      </c>
      <c r="AB72" t="s">
        <v>7</v>
      </c>
      <c r="AC72" t="s">
        <v>7</v>
      </c>
      <c r="AD72" t="s">
        <v>45</v>
      </c>
      <c r="AE72" t="s">
        <v>43</v>
      </c>
      <c r="AF72" s="7" t="str">
        <f t="shared" si="18"/>
        <v>N</v>
      </c>
      <c r="AG72">
        <v>30</v>
      </c>
      <c r="AH72">
        <v>5</v>
      </c>
      <c r="AI72">
        <f t="shared" si="19"/>
        <v>25</v>
      </c>
      <c r="AJ72" t="s">
        <v>13</v>
      </c>
      <c r="AK72" s="50" t="s">
        <v>7</v>
      </c>
      <c r="AL72" s="49" t="s">
        <v>1021</v>
      </c>
      <c r="AM72" s="50" t="s">
        <v>7</v>
      </c>
      <c r="AN72" s="52" t="s">
        <v>1083</v>
      </c>
      <c r="AR72" t="s">
        <v>59</v>
      </c>
      <c r="AT72" t="s">
        <v>23</v>
      </c>
      <c r="AU72" t="s">
        <v>23</v>
      </c>
      <c r="AV72" t="s">
        <v>222</v>
      </c>
      <c r="AW72" t="s">
        <v>222</v>
      </c>
      <c r="AX72" t="s">
        <v>222</v>
      </c>
      <c r="AY72" t="s">
        <v>222</v>
      </c>
      <c r="AZ72">
        <v>0</v>
      </c>
      <c r="BA72">
        <v>0</v>
      </c>
      <c r="BB72">
        <v>0</v>
      </c>
      <c r="BC72">
        <v>0</v>
      </c>
      <c r="BD72">
        <v>2</v>
      </c>
      <c r="BE72">
        <v>2</v>
      </c>
      <c r="BF72">
        <v>2</v>
      </c>
      <c r="BG72">
        <v>2</v>
      </c>
      <c r="BH72" s="25">
        <v>71</v>
      </c>
      <c r="BI72" s="25">
        <v>58</v>
      </c>
      <c r="BJ72" s="25">
        <v>55</v>
      </c>
      <c r="BK72" s="25">
        <v>54</v>
      </c>
      <c r="BL72" s="25">
        <v>52</v>
      </c>
      <c r="BM72" s="25">
        <v>11</v>
      </c>
      <c r="BN72" s="27">
        <v>9</v>
      </c>
      <c r="BO72" s="27">
        <v>9</v>
      </c>
      <c r="BP72" s="27">
        <v>9</v>
      </c>
      <c r="BQ72" s="27">
        <v>9</v>
      </c>
      <c r="BR72" s="27" t="s">
        <v>23</v>
      </c>
      <c r="BS72" s="27" t="s">
        <v>23</v>
      </c>
      <c r="BT72" s="71" t="s">
        <v>23</v>
      </c>
      <c r="BU72" s="27" t="s">
        <v>23</v>
      </c>
      <c r="BV72" s="27"/>
      <c r="BW72" s="27"/>
      <c r="BY72" s="71" t="s">
        <v>23</v>
      </c>
      <c r="BZ72" s="7" t="s">
        <v>23</v>
      </c>
      <c r="CA72" s="7" t="s">
        <v>23</v>
      </c>
      <c r="CB72" s="7" t="s">
        <v>23</v>
      </c>
    </row>
    <row r="73" spans="1:80" x14ac:dyDescent="0.3">
      <c r="A73" s="6">
        <v>1374</v>
      </c>
      <c r="B73" t="str">
        <f t="shared" si="5"/>
        <v>Monday</v>
      </c>
      <c r="C73">
        <f t="shared" si="6"/>
        <v>312</v>
      </c>
      <c r="D73" s="9">
        <f t="shared" si="20"/>
        <v>312</v>
      </c>
      <c r="E73" s="17">
        <f t="shared" si="14"/>
        <v>312</v>
      </c>
      <c r="F73" s="9">
        <f t="shared" si="9"/>
        <v>312</v>
      </c>
      <c r="G73" s="9">
        <f t="shared" si="17"/>
        <v>312</v>
      </c>
      <c r="I73" s="66">
        <v>20</v>
      </c>
      <c r="J73" s="66">
        <v>15</v>
      </c>
      <c r="K73" s="59" t="s">
        <v>7</v>
      </c>
      <c r="L73" s="59" t="s">
        <v>7</v>
      </c>
      <c r="M73">
        <v>35</v>
      </c>
      <c r="N73" t="s">
        <v>19</v>
      </c>
      <c r="O73" t="s">
        <v>953</v>
      </c>
      <c r="P73" s="7" t="s">
        <v>37</v>
      </c>
      <c r="Q73" t="s">
        <v>103</v>
      </c>
      <c r="R73" t="s">
        <v>58</v>
      </c>
      <c r="S73" t="s">
        <v>19</v>
      </c>
      <c r="T73" s="38" t="s">
        <v>961</v>
      </c>
      <c r="U73" t="s">
        <v>23</v>
      </c>
      <c r="V73">
        <v>0</v>
      </c>
      <c r="W73">
        <v>1</v>
      </c>
      <c r="X73">
        <v>0</v>
      </c>
      <c r="Y73">
        <v>0</v>
      </c>
      <c r="Z73">
        <v>3</v>
      </c>
      <c r="AA73">
        <v>1</v>
      </c>
      <c r="AB73" t="s">
        <v>7</v>
      </c>
      <c r="AC73" t="s">
        <v>7</v>
      </c>
      <c r="AD73" t="s">
        <v>45</v>
      </c>
      <c r="AE73" t="s">
        <v>43</v>
      </c>
      <c r="AF73" s="7" t="str">
        <f t="shared" si="18"/>
        <v>N</v>
      </c>
      <c r="AG73">
        <v>50</v>
      </c>
      <c r="AH73">
        <v>0</v>
      </c>
      <c r="AI73">
        <f t="shared" si="19"/>
        <v>50</v>
      </c>
      <c r="AJ73" t="s">
        <v>13</v>
      </c>
      <c r="AK73" s="50" t="s">
        <v>7</v>
      </c>
      <c r="AL73" s="49" t="s">
        <v>1041</v>
      </c>
      <c r="AM73" s="50" t="s">
        <v>7</v>
      </c>
      <c r="AN73" s="52" t="s">
        <v>1084</v>
      </c>
      <c r="AT73" t="s">
        <v>23</v>
      </c>
      <c r="AU73" t="s">
        <v>23</v>
      </c>
      <c r="AV73" t="s">
        <v>221</v>
      </c>
      <c r="AW73" t="s">
        <v>221</v>
      </c>
      <c r="AX73" t="s">
        <v>221</v>
      </c>
      <c r="AY73" t="s">
        <v>221</v>
      </c>
      <c r="AZ73">
        <v>1</v>
      </c>
      <c r="BA73">
        <v>1</v>
      </c>
      <c r="BB73">
        <v>1</v>
      </c>
      <c r="BC73">
        <v>1</v>
      </c>
      <c r="BD73">
        <v>0</v>
      </c>
      <c r="BE73">
        <v>0</v>
      </c>
      <c r="BF73">
        <v>0</v>
      </c>
      <c r="BG73">
        <v>0</v>
      </c>
      <c r="BH73" s="25">
        <v>72</v>
      </c>
      <c r="BI73" s="25">
        <v>59</v>
      </c>
      <c r="BJ73" s="25">
        <v>56</v>
      </c>
      <c r="BK73" s="25">
        <v>55</v>
      </c>
      <c r="BL73" s="25">
        <v>53</v>
      </c>
      <c r="BM73" s="25">
        <v>1</v>
      </c>
      <c r="BN73" s="27">
        <v>1</v>
      </c>
      <c r="BO73" s="27">
        <v>1</v>
      </c>
      <c r="BP73" s="27">
        <v>1</v>
      </c>
      <c r="BQ73" s="27">
        <v>1</v>
      </c>
    </row>
    <row r="74" spans="1:80" x14ac:dyDescent="0.3">
      <c r="A74" s="6">
        <v>1381</v>
      </c>
      <c r="B74" t="str">
        <f t="shared" si="5"/>
        <v>Monday</v>
      </c>
      <c r="C74">
        <f t="shared" si="6"/>
        <v>7</v>
      </c>
      <c r="D74" s="9">
        <f t="shared" si="20"/>
        <v>7</v>
      </c>
      <c r="E74" s="17">
        <f t="shared" si="14"/>
        <v>7</v>
      </c>
      <c r="F74" s="9">
        <f t="shared" si="9"/>
        <v>7</v>
      </c>
      <c r="G74" s="9">
        <f t="shared" si="17"/>
        <v>7</v>
      </c>
      <c r="I74" s="58">
        <v>20</v>
      </c>
      <c r="J74" s="58">
        <v>20</v>
      </c>
      <c r="K74" s="59" t="s">
        <v>7</v>
      </c>
      <c r="L74" s="59" t="s">
        <v>7</v>
      </c>
      <c r="M74">
        <v>40</v>
      </c>
      <c r="N74" t="s">
        <v>19</v>
      </c>
      <c r="O74" t="s">
        <v>953</v>
      </c>
      <c r="P74" s="7" t="s">
        <v>38</v>
      </c>
      <c r="Q74" t="s">
        <v>93</v>
      </c>
      <c r="R74" t="s">
        <v>94</v>
      </c>
      <c r="S74" t="s">
        <v>736</v>
      </c>
      <c r="T74" t="s">
        <v>990</v>
      </c>
      <c r="U74" t="s">
        <v>23</v>
      </c>
      <c r="V74">
        <v>1</v>
      </c>
      <c r="W74">
        <v>0</v>
      </c>
      <c r="X74">
        <v>0</v>
      </c>
      <c r="Y74">
        <v>2</v>
      </c>
      <c r="Z74">
        <v>1</v>
      </c>
      <c r="AA74">
        <v>0</v>
      </c>
      <c r="AB74" t="s">
        <v>7</v>
      </c>
      <c r="AC74" t="s">
        <v>7</v>
      </c>
      <c r="AD74" t="s">
        <v>167</v>
      </c>
      <c r="AE74" t="s">
        <v>94</v>
      </c>
      <c r="AF74" s="7" t="str">
        <f t="shared" si="18"/>
        <v>N</v>
      </c>
      <c r="AG74">
        <v>0</v>
      </c>
      <c r="AH74">
        <v>6</v>
      </c>
      <c r="AI74">
        <f t="shared" si="19"/>
        <v>-6</v>
      </c>
      <c r="AJ74" t="s">
        <v>47</v>
      </c>
      <c r="AK74" s="50" t="s">
        <v>7</v>
      </c>
      <c r="AL74" s="49" t="s">
        <v>1026</v>
      </c>
      <c r="AM74" s="50" t="s">
        <v>7</v>
      </c>
      <c r="AN74" s="52" t="s">
        <v>1046</v>
      </c>
      <c r="AO74">
        <v>600</v>
      </c>
      <c r="AT74" t="s">
        <v>23</v>
      </c>
      <c r="AU74" t="s">
        <v>23</v>
      </c>
      <c r="AV74" t="s">
        <v>223</v>
      </c>
      <c r="AW74" t="s">
        <v>223</v>
      </c>
      <c r="AX74" t="s">
        <v>223</v>
      </c>
      <c r="AY74" t="s">
        <v>223</v>
      </c>
      <c r="AZ74">
        <v>2</v>
      </c>
      <c r="BA74">
        <v>2</v>
      </c>
      <c r="BB74">
        <v>2</v>
      </c>
      <c r="BC74">
        <v>2</v>
      </c>
      <c r="BD74">
        <v>0</v>
      </c>
      <c r="BE74">
        <v>0</v>
      </c>
      <c r="BF74">
        <v>0</v>
      </c>
      <c r="BG74">
        <v>0</v>
      </c>
      <c r="BH74" s="25">
        <v>73</v>
      </c>
      <c r="BI74" s="25">
        <v>60</v>
      </c>
      <c r="BJ74" s="25">
        <v>57</v>
      </c>
      <c r="BK74" s="25">
        <v>56</v>
      </c>
      <c r="BL74" s="25">
        <v>54</v>
      </c>
      <c r="BM74" s="25">
        <v>2</v>
      </c>
      <c r="BN74" s="27">
        <v>2</v>
      </c>
      <c r="BO74" s="27">
        <v>2</v>
      </c>
      <c r="BP74" s="27">
        <v>2</v>
      </c>
      <c r="BQ74" s="27">
        <v>2</v>
      </c>
    </row>
    <row r="75" spans="1:80" x14ac:dyDescent="0.3">
      <c r="A75" s="6">
        <v>1386</v>
      </c>
      <c r="B75" t="str">
        <f t="shared" si="5"/>
        <v>Saturday</v>
      </c>
      <c r="C75">
        <f t="shared" si="6"/>
        <v>5</v>
      </c>
      <c r="D75" s="9">
        <f t="shared" si="20"/>
        <v>5</v>
      </c>
      <c r="E75" s="17">
        <f t="shared" si="14"/>
        <v>5</v>
      </c>
      <c r="F75" s="9">
        <f t="shared" si="9"/>
        <v>5</v>
      </c>
      <c r="G75" s="9">
        <f t="shared" si="17"/>
        <v>5</v>
      </c>
      <c r="I75" s="58">
        <v>20</v>
      </c>
      <c r="J75" s="58">
        <v>20</v>
      </c>
      <c r="K75" s="59" t="s">
        <v>7</v>
      </c>
      <c r="L75" s="59" t="s">
        <v>7</v>
      </c>
      <c r="M75">
        <v>40</v>
      </c>
      <c r="N75" t="s">
        <v>19</v>
      </c>
      <c r="O75" t="s">
        <v>953</v>
      </c>
      <c r="P75" s="7" t="s">
        <v>38</v>
      </c>
      <c r="Q75" t="s">
        <v>900</v>
      </c>
      <c r="R75" t="s">
        <v>145</v>
      </c>
      <c r="S75" t="s">
        <v>736</v>
      </c>
      <c r="T75" t="s">
        <v>991</v>
      </c>
      <c r="U75" t="s">
        <v>23</v>
      </c>
      <c r="V75">
        <v>1</v>
      </c>
      <c r="W75">
        <v>0</v>
      </c>
      <c r="X75">
        <v>0</v>
      </c>
      <c r="Y75">
        <v>5</v>
      </c>
      <c r="Z75">
        <v>1</v>
      </c>
      <c r="AA75">
        <v>0</v>
      </c>
      <c r="AB75" t="s">
        <v>7</v>
      </c>
      <c r="AC75" t="s">
        <v>7</v>
      </c>
      <c r="AD75" t="s">
        <v>160</v>
      </c>
      <c r="AE75" t="s">
        <v>145</v>
      </c>
      <c r="AF75" s="7" t="str">
        <f t="shared" si="18"/>
        <v>N</v>
      </c>
      <c r="AG75">
        <v>0</v>
      </c>
      <c r="AH75">
        <v>21</v>
      </c>
      <c r="AI75">
        <f t="shared" si="19"/>
        <v>-21</v>
      </c>
      <c r="AJ75" t="s">
        <v>47</v>
      </c>
      <c r="AK75" s="50" t="s">
        <v>7</v>
      </c>
      <c r="AL75" s="49" t="s">
        <v>1022</v>
      </c>
      <c r="AM75" s="50" t="s">
        <v>7</v>
      </c>
      <c r="AN75" s="52" t="s">
        <v>1085</v>
      </c>
      <c r="AT75" t="s">
        <v>23</v>
      </c>
      <c r="AU75" t="s">
        <v>23</v>
      </c>
      <c r="AV75" t="s">
        <v>222</v>
      </c>
      <c r="AW75" t="s">
        <v>222</v>
      </c>
      <c r="AX75" t="s">
        <v>222</v>
      </c>
      <c r="AY75" t="s">
        <v>222</v>
      </c>
      <c r="AZ75">
        <v>0</v>
      </c>
      <c r="BA75">
        <v>0</v>
      </c>
      <c r="BB75">
        <v>0</v>
      </c>
      <c r="BC75">
        <v>0</v>
      </c>
      <c r="BD75">
        <v>1</v>
      </c>
      <c r="BE75">
        <v>1</v>
      </c>
      <c r="BF75">
        <v>1</v>
      </c>
      <c r="BG75">
        <v>1</v>
      </c>
      <c r="BH75" s="25">
        <v>74</v>
      </c>
      <c r="BI75" s="25">
        <v>61</v>
      </c>
      <c r="BJ75" s="25">
        <v>58</v>
      </c>
      <c r="BK75" s="25">
        <v>57</v>
      </c>
      <c r="BL75" s="25">
        <v>55</v>
      </c>
      <c r="BM75" s="25">
        <v>3</v>
      </c>
      <c r="BN75" s="27">
        <v>3</v>
      </c>
      <c r="BO75" s="27">
        <v>3</v>
      </c>
      <c r="BP75" s="27">
        <v>3</v>
      </c>
      <c r="BQ75" s="27">
        <v>3</v>
      </c>
    </row>
    <row r="76" spans="1:80" x14ac:dyDescent="0.3">
      <c r="A76" s="6">
        <v>1388</v>
      </c>
      <c r="B76" t="str">
        <f t="shared" si="5"/>
        <v>Monday</v>
      </c>
      <c r="C76">
        <f t="shared" si="6"/>
        <v>2</v>
      </c>
      <c r="D76" s="9">
        <f t="shared" si="20"/>
        <v>2</v>
      </c>
      <c r="E76" s="17">
        <f t="shared" si="14"/>
        <v>2</v>
      </c>
      <c r="F76" s="9">
        <f t="shared" si="9"/>
        <v>2</v>
      </c>
      <c r="G76" s="9">
        <f t="shared" si="17"/>
        <v>2</v>
      </c>
      <c r="K76" s="59" t="s">
        <v>7</v>
      </c>
      <c r="L76" s="59" t="s">
        <v>7</v>
      </c>
      <c r="N76" t="s">
        <v>19</v>
      </c>
      <c r="O76" t="s">
        <v>953</v>
      </c>
      <c r="P76" s="7" t="s">
        <v>38</v>
      </c>
      <c r="Q76" t="s">
        <v>168</v>
      </c>
      <c r="R76" t="s">
        <v>169</v>
      </c>
      <c r="S76" t="s">
        <v>19</v>
      </c>
      <c r="T76" s="4" t="s">
        <v>959</v>
      </c>
      <c r="U76" t="s">
        <v>33</v>
      </c>
      <c r="V76" s="38">
        <v>3</v>
      </c>
      <c r="W76" s="38">
        <v>0</v>
      </c>
      <c r="X76" s="38">
        <v>0</v>
      </c>
      <c r="Y76" s="38">
        <v>3</v>
      </c>
      <c r="Z76" s="38">
        <v>1</v>
      </c>
      <c r="AA76" s="38">
        <v>1</v>
      </c>
      <c r="AB76" t="s">
        <v>7</v>
      </c>
      <c r="AC76" t="s">
        <v>7</v>
      </c>
      <c r="AD76" t="s">
        <v>170</v>
      </c>
      <c r="AE76" t="s">
        <v>169</v>
      </c>
      <c r="AF76" s="7" t="str">
        <f t="shared" si="18"/>
        <v>N</v>
      </c>
      <c r="AG76">
        <v>33</v>
      </c>
      <c r="AH76">
        <v>0</v>
      </c>
      <c r="AI76">
        <f t="shared" si="19"/>
        <v>33</v>
      </c>
      <c r="AJ76" t="s">
        <v>13</v>
      </c>
      <c r="AK76" s="50" t="s">
        <v>7</v>
      </c>
      <c r="AL76" s="51" t="s">
        <v>959</v>
      </c>
      <c r="AM76" s="50" t="s">
        <v>7</v>
      </c>
      <c r="AN76" s="51" t="s">
        <v>1059</v>
      </c>
      <c r="AT76" t="s">
        <v>23</v>
      </c>
      <c r="AU76" t="s">
        <v>23</v>
      </c>
      <c r="AV76" t="s">
        <v>231</v>
      </c>
      <c r="AW76" t="s">
        <v>231</v>
      </c>
      <c r="AX76" t="s">
        <v>231</v>
      </c>
      <c r="AY76" t="s">
        <v>231</v>
      </c>
      <c r="AZ76">
        <v>0</v>
      </c>
      <c r="BA76">
        <v>0</v>
      </c>
      <c r="BB76">
        <v>0</v>
      </c>
      <c r="BC76">
        <v>0</v>
      </c>
      <c r="BD76">
        <v>2</v>
      </c>
      <c r="BE76">
        <v>2</v>
      </c>
      <c r="BF76">
        <v>2</v>
      </c>
      <c r="BG76">
        <v>2</v>
      </c>
      <c r="BH76" s="25">
        <v>75</v>
      </c>
      <c r="BI76" s="25">
        <v>62</v>
      </c>
      <c r="BJ76" s="25">
        <v>59</v>
      </c>
      <c r="BK76" s="25">
        <v>58</v>
      </c>
      <c r="BL76" s="25">
        <v>56</v>
      </c>
      <c r="BM76" s="25">
        <v>4</v>
      </c>
      <c r="BN76" s="27">
        <v>4</v>
      </c>
      <c r="BO76" s="27">
        <v>4</v>
      </c>
      <c r="BP76" s="27">
        <v>4</v>
      </c>
      <c r="BQ76" s="27">
        <v>4</v>
      </c>
    </row>
    <row r="77" spans="1:80" x14ac:dyDescent="0.3">
      <c r="A77" s="6">
        <v>1397</v>
      </c>
      <c r="B77" t="str">
        <f t="shared" si="5"/>
        <v>Wednesday</v>
      </c>
      <c r="C77">
        <f t="shared" si="6"/>
        <v>9</v>
      </c>
      <c r="D77" s="9">
        <f t="shared" si="20"/>
        <v>9</v>
      </c>
      <c r="E77" s="17">
        <f t="shared" si="14"/>
        <v>9</v>
      </c>
      <c r="F77" s="9">
        <f t="shared" si="9"/>
        <v>9</v>
      </c>
      <c r="G77" s="9">
        <f t="shared" si="17"/>
        <v>9</v>
      </c>
      <c r="H77" s="1">
        <v>0.45833333333333331</v>
      </c>
      <c r="I77" s="66">
        <v>25</v>
      </c>
      <c r="J77" s="66">
        <v>20</v>
      </c>
      <c r="K77" s="59" t="s">
        <v>7</v>
      </c>
      <c r="L77" s="59" t="s">
        <v>7</v>
      </c>
      <c r="M77">
        <v>45</v>
      </c>
      <c r="N77" t="s">
        <v>19</v>
      </c>
      <c r="O77" t="s">
        <v>953</v>
      </c>
      <c r="P77" s="7" t="s">
        <v>28</v>
      </c>
      <c r="Q77" t="s">
        <v>133</v>
      </c>
      <c r="R77" t="s">
        <v>134</v>
      </c>
      <c r="S77" t="s">
        <v>140</v>
      </c>
      <c r="T77" t="s">
        <v>984</v>
      </c>
      <c r="U77" t="s">
        <v>23</v>
      </c>
      <c r="V77">
        <v>2</v>
      </c>
      <c r="W77">
        <v>0</v>
      </c>
      <c r="X77">
        <v>0</v>
      </c>
      <c r="Y77">
        <v>4</v>
      </c>
      <c r="Z77">
        <v>1</v>
      </c>
      <c r="AA77">
        <v>1</v>
      </c>
      <c r="AB77" t="s">
        <v>7</v>
      </c>
      <c r="AC77" t="s">
        <v>7</v>
      </c>
      <c r="AD77" t="s">
        <v>171</v>
      </c>
      <c r="AE77" t="s">
        <v>148</v>
      </c>
      <c r="AF77" s="7" t="str">
        <f t="shared" si="18"/>
        <v>N</v>
      </c>
      <c r="AG77">
        <v>0</v>
      </c>
      <c r="AH77">
        <v>24</v>
      </c>
      <c r="AI77">
        <f t="shared" si="19"/>
        <v>-24</v>
      </c>
      <c r="AJ77" t="s">
        <v>47</v>
      </c>
      <c r="AK77" s="50" t="s">
        <v>7</v>
      </c>
      <c r="AL77" s="49" t="s">
        <v>1037</v>
      </c>
      <c r="AM77" s="50" t="s">
        <v>7</v>
      </c>
      <c r="AN77" s="52" t="s">
        <v>1065</v>
      </c>
      <c r="AR77" t="s">
        <v>172</v>
      </c>
      <c r="AT77" t="s">
        <v>23</v>
      </c>
      <c r="AU77" t="s">
        <v>23</v>
      </c>
      <c r="AV77" t="s">
        <v>221</v>
      </c>
      <c r="AW77" t="s">
        <v>221</v>
      </c>
      <c r="AX77" t="s">
        <v>221</v>
      </c>
      <c r="AY77" t="s">
        <v>221</v>
      </c>
      <c r="AZ77">
        <v>1</v>
      </c>
      <c r="BA77">
        <v>1</v>
      </c>
      <c r="BB77">
        <v>1</v>
      </c>
      <c r="BC77">
        <v>1</v>
      </c>
      <c r="BD77">
        <v>0</v>
      </c>
      <c r="BE77">
        <v>0</v>
      </c>
      <c r="BF77">
        <v>0</v>
      </c>
      <c r="BG77">
        <v>0</v>
      </c>
      <c r="BH77" s="25">
        <v>76</v>
      </c>
      <c r="BI77" s="25">
        <v>63</v>
      </c>
      <c r="BJ77" s="25">
        <v>60</v>
      </c>
      <c r="BK77" s="25">
        <v>59</v>
      </c>
      <c r="BL77" s="25">
        <v>57</v>
      </c>
      <c r="BM77" s="25">
        <v>5</v>
      </c>
      <c r="BN77" s="27">
        <v>5</v>
      </c>
      <c r="BO77" s="27">
        <v>5</v>
      </c>
      <c r="BP77" s="27">
        <v>5</v>
      </c>
      <c r="BQ77" s="27">
        <v>5</v>
      </c>
    </row>
    <row r="78" spans="1:80" x14ac:dyDescent="0.3">
      <c r="A78" s="6">
        <v>1402</v>
      </c>
      <c r="B78" t="str">
        <f t="shared" si="5"/>
        <v>Monday</v>
      </c>
      <c r="C78">
        <f t="shared" si="6"/>
        <v>5</v>
      </c>
      <c r="D78" s="9">
        <f t="shared" si="20"/>
        <v>5</v>
      </c>
      <c r="E78" s="17">
        <f t="shared" si="14"/>
        <v>5</v>
      </c>
      <c r="F78" s="9">
        <f t="shared" si="9"/>
        <v>5</v>
      </c>
      <c r="G78" s="9">
        <f t="shared" si="17"/>
        <v>5</v>
      </c>
      <c r="H78" s="1">
        <v>0.64583333333333337</v>
      </c>
      <c r="I78" s="66">
        <v>25</v>
      </c>
      <c r="J78" s="66">
        <v>20</v>
      </c>
      <c r="K78" s="59" t="s">
        <v>7</v>
      </c>
      <c r="L78" s="59" t="s">
        <v>7</v>
      </c>
      <c r="M78">
        <v>45</v>
      </c>
      <c r="N78" t="s">
        <v>19</v>
      </c>
      <c r="O78" t="s">
        <v>953</v>
      </c>
      <c r="P78" s="7" t="s">
        <v>37</v>
      </c>
      <c r="Q78" t="s">
        <v>1258</v>
      </c>
      <c r="R78" t="s">
        <v>173</v>
      </c>
      <c r="S78" t="s">
        <v>140</v>
      </c>
      <c r="T78" t="s">
        <v>992</v>
      </c>
      <c r="U78" t="s">
        <v>23</v>
      </c>
      <c r="V78">
        <v>3</v>
      </c>
      <c r="W78">
        <v>1</v>
      </c>
      <c r="X78">
        <v>0</v>
      </c>
      <c r="Y78">
        <v>7</v>
      </c>
      <c r="Z78">
        <v>1</v>
      </c>
      <c r="AA78">
        <v>0</v>
      </c>
      <c r="AB78" t="s">
        <v>7</v>
      </c>
      <c r="AC78" t="s">
        <v>7</v>
      </c>
      <c r="AD78" t="s">
        <v>45</v>
      </c>
      <c r="AE78" t="s">
        <v>43</v>
      </c>
      <c r="AF78" s="7" t="str">
        <f t="shared" si="18"/>
        <v>N</v>
      </c>
      <c r="AG78">
        <v>0</v>
      </c>
      <c r="AH78">
        <v>18</v>
      </c>
      <c r="AI78">
        <f t="shared" si="19"/>
        <v>-18</v>
      </c>
      <c r="AJ78" t="s">
        <v>47</v>
      </c>
      <c r="AK78" s="50" t="s">
        <v>7</v>
      </c>
      <c r="AL78" s="49" t="s">
        <v>1037</v>
      </c>
      <c r="AM78" s="50" t="s">
        <v>7</v>
      </c>
      <c r="AN78" s="52" t="s">
        <v>1086</v>
      </c>
      <c r="AT78" t="s">
        <v>23</v>
      </c>
      <c r="AU78" t="s">
        <v>23</v>
      </c>
      <c r="AV78" t="s">
        <v>222</v>
      </c>
      <c r="AW78" t="s">
        <v>222</v>
      </c>
      <c r="AX78" t="s">
        <v>222</v>
      </c>
      <c r="AY78" t="s">
        <v>222</v>
      </c>
      <c r="AZ78">
        <v>0</v>
      </c>
      <c r="BA78">
        <v>0</v>
      </c>
      <c r="BB78">
        <v>0</v>
      </c>
      <c r="BC78">
        <v>0</v>
      </c>
      <c r="BD78">
        <v>1</v>
      </c>
      <c r="BE78">
        <v>1</v>
      </c>
      <c r="BF78">
        <v>1</v>
      </c>
      <c r="BG78">
        <v>1</v>
      </c>
      <c r="BH78" s="25">
        <v>77</v>
      </c>
      <c r="BI78" s="25">
        <v>64</v>
      </c>
      <c r="BJ78" s="25">
        <v>61</v>
      </c>
      <c r="BK78" s="25">
        <v>60</v>
      </c>
      <c r="BL78" s="25">
        <v>58</v>
      </c>
      <c r="BM78" s="25">
        <v>6</v>
      </c>
      <c r="BN78" s="27">
        <v>6</v>
      </c>
      <c r="BO78" s="27">
        <v>6</v>
      </c>
      <c r="BP78" s="27">
        <v>6</v>
      </c>
      <c r="BQ78" s="27">
        <v>6</v>
      </c>
    </row>
    <row r="79" spans="1:80" x14ac:dyDescent="0.3">
      <c r="A79" s="6">
        <v>1407</v>
      </c>
      <c r="B79" t="str">
        <f t="shared" si="5"/>
        <v>Saturday</v>
      </c>
      <c r="C79">
        <f t="shared" si="6"/>
        <v>5</v>
      </c>
      <c r="D79" s="13">
        <f t="shared" si="20"/>
        <v>5</v>
      </c>
      <c r="E79" s="17">
        <f t="shared" si="14"/>
        <v>5</v>
      </c>
      <c r="F79" s="9">
        <f t="shared" si="9"/>
        <v>5</v>
      </c>
      <c r="G79" s="9">
        <f t="shared" si="17"/>
        <v>5</v>
      </c>
      <c r="I79" s="58" t="s">
        <v>7</v>
      </c>
      <c r="J79" s="58" t="s">
        <v>7</v>
      </c>
      <c r="K79" s="59" t="s">
        <v>7</v>
      </c>
      <c r="L79" s="59" t="s">
        <v>7</v>
      </c>
      <c r="M79" t="s">
        <v>7</v>
      </c>
      <c r="N79" t="s">
        <v>19</v>
      </c>
      <c r="O79" t="s">
        <v>953</v>
      </c>
      <c r="P79" s="7" t="s">
        <v>38</v>
      </c>
      <c r="Q79" t="s">
        <v>133</v>
      </c>
      <c r="R79" t="s">
        <v>134</v>
      </c>
      <c r="S79" t="s">
        <v>140</v>
      </c>
      <c r="T79" t="s">
        <v>984</v>
      </c>
      <c r="U79" t="s">
        <v>23</v>
      </c>
      <c r="V79">
        <v>3</v>
      </c>
      <c r="W79">
        <v>0</v>
      </c>
      <c r="X79">
        <v>0</v>
      </c>
      <c r="Y79">
        <v>4</v>
      </c>
      <c r="Z79">
        <v>1</v>
      </c>
      <c r="AA79">
        <v>1</v>
      </c>
      <c r="AB79" t="s">
        <v>7</v>
      </c>
      <c r="AC79" t="s">
        <v>7</v>
      </c>
      <c r="AD79" t="s">
        <v>156</v>
      </c>
      <c r="AE79" t="s">
        <v>134</v>
      </c>
      <c r="AF79" s="7" t="str">
        <f t="shared" si="18"/>
        <v>N</v>
      </c>
      <c r="AG79" t="s">
        <v>7</v>
      </c>
      <c r="AH79" t="s">
        <v>7</v>
      </c>
      <c r="AI79" t="s">
        <v>7</v>
      </c>
      <c r="AJ79" t="s">
        <v>7</v>
      </c>
      <c r="AK79" s="50" t="s">
        <v>7</v>
      </c>
      <c r="AL79" s="49" t="s">
        <v>7</v>
      </c>
      <c r="AM79" s="50" t="s">
        <v>7</v>
      </c>
      <c r="AN79" s="52" t="s">
        <v>7</v>
      </c>
      <c r="AO79" t="s">
        <v>7</v>
      </c>
      <c r="AS79" t="s">
        <v>174</v>
      </c>
      <c r="AT79" s="26" t="s">
        <v>28</v>
      </c>
      <c r="AU79" t="s">
        <v>28</v>
      </c>
      <c r="BH79" s="25">
        <v>78</v>
      </c>
      <c r="BM79" s="25">
        <v>7</v>
      </c>
    </row>
    <row r="80" spans="1:80" x14ac:dyDescent="0.3">
      <c r="A80" s="6">
        <v>1411</v>
      </c>
      <c r="B80" t="str">
        <f t="shared" si="5"/>
        <v>Wednesday</v>
      </c>
      <c r="C80">
        <f t="shared" si="6"/>
        <v>4</v>
      </c>
      <c r="D80" s="14">
        <f>A80-A78</f>
        <v>9</v>
      </c>
      <c r="E80" s="17">
        <f>A80-A78</f>
        <v>9</v>
      </c>
      <c r="F80" s="9">
        <f>A80-A78</f>
        <v>9</v>
      </c>
      <c r="G80" s="9">
        <f>A80-A78</f>
        <v>9</v>
      </c>
      <c r="I80" s="58" t="s">
        <v>7</v>
      </c>
      <c r="J80" s="58" t="s">
        <v>7</v>
      </c>
      <c r="K80" s="59" t="s">
        <v>7</v>
      </c>
      <c r="L80" s="59" t="s">
        <v>7</v>
      </c>
      <c r="M80" t="s">
        <v>7</v>
      </c>
      <c r="N80" t="s">
        <v>19</v>
      </c>
      <c r="O80" t="s">
        <v>953</v>
      </c>
      <c r="P80" s="7" t="s">
        <v>38</v>
      </c>
      <c r="Q80" t="s">
        <v>103</v>
      </c>
      <c r="R80" t="s">
        <v>58</v>
      </c>
      <c r="S80" t="s">
        <v>19</v>
      </c>
      <c r="T80" s="38" t="s">
        <v>961</v>
      </c>
      <c r="U80" t="s">
        <v>23</v>
      </c>
      <c r="V80">
        <v>1</v>
      </c>
      <c r="W80">
        <v>3</v>
      </c>
      <c r="X80">
        <v>1</v>
      </c>
      <c r="Y80">
        <v>1</v>
      </c>
      <c r="Z80">
        <v>3</v>
      </c>
      <c r="AA80">
        <v>1</v>
      </c>
      <c r="AB80" t="s">
        <v>7</v>
      </c>
      <c r="AC80" t="s">
        <v>7</v>
      </c>
      <c r="AD80" t="s">
        <v>57</v>
      </c>
      <c r="AE80" t="s">
        <v>58</v>
      </c>
      <c r="AF80" s="7" t="str">
        <f t="shared" si="18"/>
        <v>N</v>
      </c>
      <c r="AG80" t="s">
        <v>7</v>
      </c>
      <c r="AH80" t="s">
        <v>7</v>
      </c>
      <c r="AI80" t="s">
        <v>7</v>
      </c>
      <c r="AJ80" t="s">
        <v>7</v>
      </c>
      <c r="AK80" s="50" t="s">
        <v>7</v>
      </c>
      <c r="AL80" s="49" t="s">
        <v>7</v>
      </c>
      <c r="AM80" s="50" t="s">
        <v>7</v>
      </c>
      <c r="AN80" s="52" t="s">
        <v>7</v>
      </c>
      <c r="AO80" t="s">
        <v>7</v>
      </c>
      <c r="AS80" t="s">
        <v>174</v>
      </c>
      <c r="AT80" s="26" t="s">
        <v>28</v>
      </c>
      <c r="AU80" t="s">
        <v>28</v>
      </c>
      <c r="BH80" s="25">
        <v>79</v>
      </c>
      <c r="BM80" s="25">
        <v>8</v>
      </c>
    </row>
    <row r="81" spans="1:80" x14ac:dyDescent="0.3">
      <c r="A81" s="6">
        <v>1414</v>
      </c>
      <c r="B81" t="str">
        <f t="shared" si="5"/>
        <v>Saturday</v>
      </c>
      <c r="C81">
        <f t="shared" si="6"/>
        <v>3</v>
      </c>
      <c r="D81" s="14">
        <f>A81-A78</f>
        <v>12</v>
      </c>
      <c r="E81" s="17">
        <f>A81-A78</f>
        <v>12</v>
      </c>
      <c r="F81" s="9">
        <f>A81-A78</f>
        <v>12</v>
      </c>
      <c r="G81" s="9">
        <f>A81-A78</f>
        <v>12</v>
      </c>
      <c r="H81" s="1">
        <v>0.64583333333333337</v>
      </c>
      <c r="I81" s="66">
        <v>25</v>
      </c>
      <c r="J81" s="66">
        <v>20</v>
      </c>
      <c r="K81" s="59" t="s">
        <v>7</v>
      </c>
      <c r="L81" s="59" t="s">
        <v>7</v>
      </c>
      <c r="M81">
        <v>45</v>
      </c>
      <c r="N81" t="s">
        <v>19</v>
      </c>
      <c r="O81" t="s">
        <v>953</v>
      </c>
      <c r="P81" s="7" t="s">
        <v>37</v>
      </c>
      <c r="Q81" t="s">
        <v>147</v>
      </c>
      <c r="R81" t="s">
        <v>148</v>
      </c>
      <c r="S81" t="s">
        <v>19</v>
      </c>
      <c r="T81" t="s">
        <v>993</v>
      </c>
      <c r="U81" t="s">
        <v>23</v>
      </c>
      <c r="V81">
        <v>6</v>
      </c>
      <c r="W81">
        <v>1</v>
      </c>
      <c r="X81">
        <v>0</v>
      </c>
      <c r="Y81">
        <v>8</v>
      </c>
      <c r="Z81">
        <v>2</v>
      </c>
      <c r="AA81">
        <v>0</v>
      </c>
      <c r="AB81" t="s">
        <v>7</v>
      </c>
      <c r="AC81" t="s">
        <v>7</v>
      </c>
      <c r="AD81" t="s">
        <v>45</v>
      </c>
      <c r="AE81" t="s">
        <v>43</v>
      </c>
      <c r="AF81" s="7" t="str">
        <f t="shared" si="18"/>
        <v>N</v>
      </c>
      <c r="AG81">
        <v>6</v>
      </c>
      <c r="AH81">
        <v>5</v>
      </c>
      <c r="AI81">
        <f>AG81-AH81</f>
        <v>1</v>
      </c>
      <c r="AJ81" t="s">
        <v>13</v>
      </c>
      <c r="AK81" s="50" t="s">
        <v>7</v>
      </c>
      <c r="AL81" s="49" t="s">
        <v>623</v>
      </c>
      <c r="AM81" s="50" t="s">
        <v>7</v>
      </c>
      <c r="AN81" s="52" t="s">
        <v>1072</v>
      </c>
      <c r="AO81">
        <v>800</v>
      </c>
      <c r="AT81" t="s">
        <v>23</v>
      </c>
      <c r="AU81" t="s">
        <v>23</v>
      </c>
      <c r="AV81" t="s">
        <v>231</v>
      </c>
      <c r="AW81" t="s">
        <v>231</v>
      </c>
      <c r="AX81" t="s">
        <v>231</v>
      </c>
      <c r="AY81" t="s">
        <v>231</v>
      </c>
      <c r="AZ81">
        <v>0</v>
      </c>
      <c r="BA81">
        <v>0</v>
      </c>
      <c r="BB81">
        <v>0</v>
      </c>
      <c r="BC81">
        <v>0</v>
      </c>
      <c r="BD81">
        <v>2</v>
      </c>
      <c r="BE81">
        <v>2</v>
      </c>
      <c r="BF81">
        <v>2</v>
      </c>
      <c r="BG81">
        <v>2</v>
      </c>
      <c r="BH81" s="25">
        <v>80</v>
      </c>
      <c r="BI81" s="25">
        <v>65</v>
      </c>
      <c r="BJ81" s="25">
        <v>62</v>
      </c>
      <c r="BK81" s="25">
        <v>61</v>
      </c>
      <c r="BL81" s="25">
        <v>59</v>
      </c>
      <c r="BM81" s="25">
        <v>9</v>
      </c>
      <c r="BN81" s="27">
        <v>7</v>
      </c>
      <c r="BO81" s="27">
        <v>7</v>
      </c>
      <c r="BP81" s="27">
        <v>7</v>
      </c>
      <c r="BQ81" s="27">
        <v>7</v>
      </c>
    </row>
    <row r="82" spans="1:80" x14ac:dyDescent="0.3">
      <c r="A82" s="6">
        <v>1423</v>
      </c>
      <c r="B82" t="str">
        <f t="shared" si="5"/>
        <v>Monday</v>
      </c>
      <c r="C82">
        <f t="shared" si="6"/>
        <v>9</v>
      </c>
      <c r="D82" s="9">
        <f>A82-A81</f>
        <v>9</v>
      </c>
      <c r="E82" s="17">
        <f>A82-A81</f>
        <v>9</v>
      </c>
      <c r="F82" s="9">
        <f t="shared" si="9"/>
        <v>9</v>
      </c>
      <c r="G82" s="9">
        <f t="shared" si="17"/>
        <v>9</v>
      </c>
      <c r="H82" s="1">
        <v>0.64583333333333337</v>
      </c>
      <c r="I82" s="66">
        <v>20</v>
      </c>
      <c r="J82" s="66">
        <v>15</v>
      </c>
      <c r="K82" s="59" t="s">
        <v>7</v>
      </c>
      <c r="L82" s="59" t="s">
        <v>7</v>
      </c>
      <c r="M82">
        <v>35</v>
      </c>
      <c r="N82" t="s">
        <v>19</v>
      </c>
      <c r="O82" t="s">
        <v>953</v>
      </c>
      <c r="P82" s="7" t="s">
        <v>37</v>
      </c>
      <c r="Q82" t="s">
        <v>86</v>
      </c>
      <c r="R82" t="s">
        <v>87</v>
      </c>
      <c r="S82" t="s">
        <v>736</v>
      </c>
      <c r="T82" t="s">
        <v>994</v>
      </c>
      <c r="U82" t="s">
        <v>23</v>
      </c>
      <c r="V82">
        <v>6</v>
      </c>
      <c r="W82">
        <v>1</v>
      </c>
      <c r="X82">
        <v>1</v>
      </c>
      <c r="Y82">
        <v>6</v>
      </c>
      <c r="Z82">
        <v>3</v>
      </c>
      <c r="AA82">
        <v>1</v>
      </c>
      <c r="AB82" t="s">
        <v>7</v>
      </c>
      <c r="AC82" t="s">
        <v>7</v>
      </c>
      <c r="AD82" t="s">
        <v>45</v>
      </c>
      <c r="AE82" t="s">
        <v>43</v>
      </c>
      <c r="AF82" s="7" t="str">
        <f t="shared" si="18"/>
        <v>N</v>
      </c>
      <c r="AG82">
        <v>53</v>
      </c>
      <c r="AH82">
        <v>0</v>
      </c>
      <c r="AI82">
        <f>AG82-AH82</f>
        <v>53</v>
      </c>
      <c r="AJ82" t="s">
        <v>13</v>
      </c>
      <c r="AK82" s="50" t="s">
        <v>7</v>
      </c>
      <c r="AL82" s="49" t="s">
        <v>1042</v>
      </c>
      <c r="AM82" s="50" t="s">
        <v>7</v>
      </c>
      <c r="AN82" s="52" t="s">
        <v>1087</v>
      </c>
      <c r="AO82">
        <v>350</v>
      </c>
      <c r="AT82" t="s">
        <v>23</v>
      </c>
      <c r="AU82" t="s">
        <v>23</v>
      </c>
      <c r="AV82" t="s">
        <v>221</v>
      </c>
      <c r="AW82" t="s">
        <v>221</v>
      </c>
      <c r="AX82" t="s">
        <v>221</v>
      </c>
      <c r="AY82" t="s">
        <v>221</v>
      </c>
      <c r="AZ82">
        <v>1</v>
      </c>
      <c r="BA82">
        <v>1</v>
      </c>
      <c r="BB82">
        <v>1</v>
      </c>
      <c r="BC82">
        <v>1</v>
      </c>
      <c r="BD82">
        <v>0</v>
      </c>
      <c r="BE82">
        <v>0</v>
      </c>
      <c r="BF82">
        <v>0</v>
      </c>
      <c r="BG82">
        <v>0</v>
      </c>
      <c r="BH82" s="25">
        <v>81</v>
      </c>
      <c r="BI82" s="25">
        <v>66</v>
      </c>
      <c r="BJ82" s="25">
        <v>63</v>
      </c>
      <c r="BK82" s="25">
        <v>62</v>
      </c>
      <c r="BL82" s="25">
        <v>60</v>
      </c>
      <c r="BM82" s="25">
        <v>10</v>
      </c>
      <c r="BN82" s="27">
        <v>8</v>
      </c>
      <c r="BO82" s="27">
        <v>8</v>
      </c>
      <c r="BP82" s="27">
        <v>8</v>
      </c>
      <c r="BQ82" s="27">
        <v>8</v>
      </c>
      <c r="BR82" s="27" t="s">
        <v>23</v>
      </c>
      <c r="BS82" s="27" t="s">
        <v>23</v>
      </c>
      <c r="BT82" s="71" t="s">
        <v>23</v>
      </c>
      <c r="BU82" s="27" t="s">
        <v>23</v>
      </c>
      <c r="BV82" s="27"/>
      <c r="BW82" s="27"/>
      <c r="BY82" s="71" t="s">
        <v>23</v>
      </c>
      <c r="BZ82" s="7" t="s">
        <v>23</v>
      </c>
      <c r="CA82" s="7" t="s">
        <v>23</v>
      </c>
      <c r="CB82" s="7" t="s">
        <v>23</v>
      </c>
    </row>
    <row r="83" spans="1:80" x14ac:dyDescent="0.3">
      <c r="A83" s="6">
        <v>1426</v>
      </c>
      <c r="B83" t="str">
        <f t="shared" si="5"/>
        <v>Thursday</v>
      </c>
      <c r="C83">
        <f t="shared" si="6"/>
        <v>3</v>
      </c>
      <c r="D83" s="13">
        <f>A83-A82</f>
        <v>3</v>
      </c>
      <c r="E83" s="17">
        <f t="shared" ref="E83:E89" si="21">A83-A82</f>
        <v>3</v>
      </c>
      <c r="F83" s="9">
        <f t="shared" si="9"/>
        <v>3</v>
      </c>
      <c r="G83" s="9">
        <f t="shared" si="17"/>
        <v>3</v>
      </c>
      <c r="I83" s="58" t="s">
        <v>7</v>
      </c>
      <c r="J83" s="58" t="s">
        <v>7</v>
      </c>
      <c r="K83" s="59" t="s">
        <v>7</v>
      </c>
      <c r="L83" s="59" t="s">
        <v>7</v>
      </c>
      <c r="M83" t="s">
        <v>7</v>
      </c>
      <c r="N83" t="s">
        <v>19</v>
      </c>
      <c r="O83" t="s">
        <v>953</v>
      </c>
      <c r="P83" s="7" t="s">
        <v>37</v>
      </c>
      <c r="Q83" t="s">
        <v>175</v>
      </c>
      <c r="R83" t="s">
        <v>94</v>
      </c>
      <c r="S83" t="s">
        <v>736</v>
      </c>
      <c r="T83" s="38" t="s">
        <v>961</v>
      </c>
      <c r="U83" t="s">
        <v>23</v>
      </c>
      <c r="V83">
        <v>4</v>
      </c>
      <c r="W83">
        <v>1</v>
      </c>
      <c r="X83">
        <v>0</v>
      </c>
      <c r="Y83">
        <v>4</v>
      </c>
      <c r="Z83">
        <v>1</v>
      </c>
      <c r="AA83">
        <v>0</v>
      </c>
      <c r="AB83" t="s">
        <v>7</v>
      </c>
      <c r="AC83" t="s">
        <v>7</v>
      </c>
      <c r="AD83" t="s">
        <v>45</v>
      </c>
      <c r="AE83" t="s">
        <v>43</v>
      </c>
      <c r="AF83" s="7" t="str">
        <f t="shared" si="18"/>
        <v>N</v>
      </c>
      <c r="AG83" t="s">
        <v>7</v>
      </c>
      <c r="AH83" t="s">
        <v>7</v>
      </c>
      <c r="AI83" t="s">
        <v>7</v>
      </c>
      <c r="AJ83" t="s">
        <v>7</v>
      </c>
      <c r="AK83" s="50" t="s">
        <v>7</v>
      </c>
      <c r="AL83" s="49" t="s">
        <v>7</v>
      </c>
      <c r="AM83" s="50" t="s">
        <v>7</v>
      </c>
      <c r="AN83" s="52" t="s">
        <v>7</v>
      </c>
      <c r="AO83" t="s">
        <v>7</v>
      </c>
      <c r="AS83" t="s">
        <v>176</v>
      </c>
      <c r="AT83" s="26" t="s">
        <v>28</v>
      </c>
      <c r="AU83" t="s">
        <v>28</v>
      </c>
      <c r="BH83" s="25">
        <v>82</v>
      </c>
      <c r="BM83" s="25">
        <v>11</v>
      </c>
    </row>
    <row r="84" spans="1:80" x14ac:dyDescent="0.3">
      <c r="A84" s="6">
        <v>1729</v>
      </c>
      <c r="B84" t="str">
        <f t="shared" si="5"/>
        <v>Saturday</v>
      </c>
      <c r="C84">
        <f t="shared" si="6"/>
        <v>303</v>
      </c>
      <c r="D84" s="14">
        <f>A84-A82</f>
        <v>306</v>
      </c>
      <c r="E84" s="17">
        <f t="shared" si="21"/>
        <v>303</v>
      </c>
      <c r="F84" s="9">
        <f>A84-A82</f>
        <v>306</v>
      </c>
      <c r="G84" s="9">
        <f>A84-A82</f>
        <v>306</v>
      </c>
      <c r="H84" s="1">
        <v>0.6875</v>
      </c>
      <c r="I84" s="58">
        <v>15</v>
      </c>
      <c r="J84" s="58">
        <v>15</v>
      </c>
      <c r="K84" s="59" t="s">
        <v>7</v>
      </c>
      <c r="L84" s="59" t="s">
        <v>7</v>
      </c>
      <c r="M84">
        <v>30</v>
      </c>
      <c r="N84" t="s">
        <v>19</v>
      </c>
      <c r="O84" t="s">
        <v>954</v>
      </c>
      <c r="P84" s="7" t="s">
        <v>37</v>
      </c>
      <c r="Q84" t="s">
        <v>103</v>
      </c>
      <c r="R84" t="s">
        <v>58</v>
      </c>
      <c r="S84" t="s">
        <v>19</v>
      </c>
      <c r="T84" s="38" t="s">
        <v>961</v>
      </c>
      <c r="U84" t="s">
        <v>23</v>
      </c>
      <c r="V84">
        <v>0</v>
      </c>
      <c r="W84">
        <v>0</v>
      </c>
      <c r="X84">
        <v>0</v>
      </c>
      <c r="Y84">
        <v>1</v>
      </c>
      <c r="Z84">
        <v>5</v>
      </c>
      <c r="AA84">
        <v>0</v>
      </c>
      <c r="AB84" t="s">
        <v>7</v>
      </c>
      <c r="AC84" t="s">
        <v>7</v>
      </c>
      <c r="AD84" t="s">
        <v>45</v>
      </c>
      <c r="AE84" t="s">
        <v>43</v>
      </c>
      <c r="AF84" s="7" t="str">
        <f t="shared" si="18"/>
        <v>N</v>
      </c>
      <c r="AG84">
        <v>59</v>
      </c>
      <c r="AH84">
        <v>0</v>
      </c>
      <c r="AI84">
        <f>AG84-AH84</f>
        <v>59</v>
      </c>
      <c r="AJ84" t="s">
        <v>13</v>
      </c>
      <c r="AK84" s="50" t="s">
        <v>7</v>
      </c>
      <c r="AL84" s="51" t="s">
        <v>959</v>
      </c>
      <c r="AM84" s="50" t="s">
        <v>7</v>
      </c>
      <c r="AN84" s="51" t="s">
        <v>1059</v>
      </c>
      <c r="AT84" t="s">
        <v>23</v>
      </c>
      <c r="AU84" t="s">
        <v>23</v>
      </c>
      <c r="AV84" t="s">
        <v>223</v>
      </c>
      <c r="AW84" t="s">
        <v>223</v>
      </c>
      <c r="AX84" t="s">
        <v>223</v>
      </c>
      <c r="AY84" t="s">
        <v>223</v>
      </c>
      <c r="AZ84">
        <v>2</v>
      </c>
      <c r="BA84">
        <v>2</v>
      </c>
      <c r="BB84">
        <v>2</v>
      </c>
      <c r="BC84">
        <v>2</v>
      </c>
      <c r="BD84">
        <v>0</v>
      </c>
      <c r="BE84">
        <v>0</v>
      </c>
      <c r="BF84">
        <v>0</v>
      </c>
      <c r="BG84">
        <v>0</v>
      </c>
      <c r="BH84" s="25">
        <v>83</v>
      </c>
      <c r="BI84" s="25">
        <v>67</v>
      </c>
      <c r="BJ84" s="25">
        <v>64</v>
      </c>
      <c r="BK84" s="25">
        <v>63</v>
      </c>
      <c r="BL84" s="25">
        <v>61</v>
      </c>
      <c r="BM84" s="25">
        <v>1</v>
      </c>
      <c r="BN84" s="27">
        <v>1</v>
      </c>
      <c r="BO84" s="27">
        <v>1</v>
      </c>
      <c r="BP84" s="27">
        <v>1</v>
      </c>
      <c r="BQ84" s="27">
        <v>1</v>
      </c>
    </row>
    <row r="85" spans="1:80" x14ac:dyDescent="0.3">
      <c r="A85" s="6">
        <v>1736</v>
      </c>
      <c r="B85" t="str">
        <f t="shared" si="5"/>
        <v>Saturday</v>
      </c>
      <c r="C85">
        <f t="shared" si="6"/>
        <v>7</v>
      </c>
      <c r="D85" s="9">
        <f>A85-A84</f>
        <v>7</v>
      </c>
      <c r="E85" s="17">
        <f t="shared" si="21"/>
        <v>7</v>
      </c>
      <c r="F85" s="9">
        <f t="shared" si="9"/>
        <v>7</v>
      </c>
      <c r="G85" s="9">
        <f t="shared" si="17"/>
        <v>7</v>
      </c>
      <c r="I85" s="58">
        <v>15</v>
      </c>
      <c r="J85" s="58">
        <v>15</v>
      </c>
      <c r="K85" s="59" t="s">
        <v>7</v>
      </c>
      <c r="L85" s="59" t="s">
        <v>7</v>
      </c>
      <c r="M85">
        <v>30</v>
      </c>
      <c r="N85" t="s">
        <v>19</v>
      </c>
      <c r="O85" t="s">
        <v>954</v>
      </c>
      <c r="P85" s="7" t="s">
        <v>38</v>
      </c>
      <c r="Q85" t="s">
        <v>93</v>
      </c>
      <c r="R85" t="s">
        <v>94</v>
      </c>
      <c r="S85" t="s">
        <v>736</v>
      </c>
      <c r="T85" s="25" t="s">
        <v>990</v>
      </c>
      <c r="U85" t="s">
        <v>23</v>
      </c>
      <c r="V85">
        <v>0</v>
      </c>
      <c r="W85">
        <v>0</v>
      </c>
      <c r="X85">
        <v>0</v>
      </c>
      <c r="Y85">
        <v>3</v>
      </c>
      <c r="Z85">
        <v>5</v>
      </c>
      <c r="AA85">
        <v>0</v>
      </c>
      <c r="AB85" t="s">
        <v>7</v>
      </c>
      <c r="AC85" t="s">
        <v>7</v>
      </c>
      <c r="AD85" t="s">
        <v>167</v>
      </c>
      <c r="AE85" t="s">
        <v>94</v>
      </c>
      <c r="AF85" s="7" t="str">
        <f t="shared" si="18"/>
        <v>N</v>
      </c>
      <c r="AG85">
        <v>6</v>
      </c>
      <c r="AH85">
        <v>0</v>
      </c>
      <c r="AI85">
        <f>AG85-AH85</f>
        <v>6</v>
      </c>
      <c r="AJ85" t="s">
        <v>13</v>
      </c>
      <c r="AK85" s="50" t="s">
        <v>7</v>
      </c>
      <c r="AL85" s="52" t="s">
        <v>1013</v>
      </c>
      <c r="AM85" s="50" t="s">
        <v>7</v>
      </c>
      <c r="AN85" s="52" t="s">
        <v>1047</v>
      </c>
      <c r="AT85" t="s">
        <v>23</v>
      </c>
      <c r="AU85" t="s">
        <v>23</v>
      </c>
      <c r="AV85" t="s">
        <v>224</v>
      </c>
      <c r="AW85" t="s">
        <v>224</v>
      </c>
      <c r="AX85" t="s">
        <v>224</v>
      </c>
      <c r="AY85" t="s">
        <v>224</v>
      </c>
      <c r="AZ85">
        <v>3</v>
      </c>
      <c r="BA85">
        <v>3</v>
      </c>
      <c r="BB85">
        <v>3</v>
      </c>
      <c r="BC85">
        <v>3</v>
      </c>
      <c r="BD85">
        <v>0</v>
      </c>
      <c r="BE85">
        <v>0</v>
      </c>
      <c r="BF85">
        <v>0</v>
      </c>
      <c r="BG85">
        <v>0</v>
      </c>
      <c r="BH85" s="25">
        <v>84</v>
      </c>
      <c r="BI85" s="25">
        <v>68</v>
      </c>
      <c r="BJ85" s="25">
        <v>65</v>
      </c>
      <c r="BK85" s="25">
        <v>64</v>
      </c>
      <c r="BL85" s="25">
        <v>62</v>
      </c>
      <c r="BM85" s="25">
        <v>2</v>
      </c>
      <c r="BN85" s="27">
        <v>2</v>
      </c>
      <c r="BO85" s="27">
        <v>2</v>
      </c>
      <c r="BP85" s="27">
        <v>2</v>
      </c>
      <c r="BQ85" s="27">
        <v>2</v>
      </c>
    </row>
    <row r="86" spans="1:80" x14ac:dyDescent="0.3">
      <c r="A86" s="6">
        <v>1743</v>
      </c>
      <c r="B86" t="str">
        <f t="shared" si="5"/>
        <v>Saturday</v>
      </c>
      <c r="C86">
        <f t="shared" si="6"/>
        <v>7</v>
      </c>
      <c r="D86" s="13">
        <f>A86-A85</f>
        <v>7</v>
      </c>
      <c r="E86" s="17">
        <f t="shared" si="21"/>
        <v>7</v>
      </c>
      <c r="F86" s="9">
        <f t="shared" si="9"/>
        <v>7</v>
      </c>
      <c r="G86" s="9">
        <f t="shared" si="17"/>
        <v>7</v>
      </c>
      <c r="I86" s="58" t="s">
        <v>7</v>
      </c>
      <c r="J86" s="58" t="s">
        <v>7</v>
      </c>
      <c r="K86" s="59" t="s">
        <v>7</v>
      </c>
      <c r="L86" s="59" t="s">
        <v>7</v>
      </c>
      <c r="M86" t="s">
        <v>7</v>
      </c>
      <c r="N86" t="s">
        <v>19</v>
      </c>
      <c r="O86" t="s">
        <v>954</v>
      </c>
      <c r="P86" s="7" t="s">
        <v>38</v>
      </c>
      <c r="Q86" t="s">
        <v>177</v>
      </c>
      <c r="R86" t="s">
        <v>178</v>
      </c>
      <c r="S86" t="s">
        <v>140</v>
      </c>
      <c r="T86" s="25" t="s">
        <v>995</v>
      </c>
      <c r="U86" t="s">
        <v>23</v>
      </c>
      <c r="V86">
        <v>1</v>
      </c>
      <c r="W86">
        <v>0</v>
      </c>
      <c r="X86">
        <v>0</v>
      </c>
      <c r="Y86">
        <v>9</v>
      </c>
      <c r="Z86">
        <v>0</v>
      </c>
      <c r="AA86">
        <v>0</v>
      </c>
      <c r="AB86" t="s">
        <v>7</v>
      </c>
      <c r="AC86" t="s">
        <v>7</v>
      </c>
      <c r="AD86" t="s">
        <v>179</v>
      </c>
      <c r="AE86" t="s">
        <v>178</v>
      </c>
      <c r="AF86" s="7" t="str">
        <f t="shared" si="18"/>
        <v>N</v>
      </c>
      <c r="AG86" t="s">
        <v>7</v>
      </c>
      <c r="AH86" t="s">
        <v>7</v>
      </c>
      <c r="AI86" t="s">
        <v>7</v>
      </c>
      <c r="AJ86" t="s">
        <v>7</v>
      </c>
      <c r="AK86" s="50" t="s">
        <v>7</v>
      </c>
      <c r="AL86" s="49" t="s">
        <v>7</v>
      </c>
      <c r="AM86" s="50" t="s">
        <v>7</v>
      </c>
      <c r="AN86" s="52" t="s">
        <v>7</v>
      </c>
      <c r="AO86" t="s">
        <v>7</v>
      </c>
      <c r="AS86" t="s">
        <v>180</v>
      </c>
      <c r="AT86" s="26" t="s">
        <v>28</v>
      </c>
      <c r="AU86" t="s">
        <v>28</v>
      </c>
      <c r="BH86" s="25">
        <v>85</v>
      </c>
      <c r="BM86" s="25">
        <v>3</v>
      </c>
    </row>
    <row r="87" spans="1:80" x14ac:dyDescent="0.3">
      <c r="A87" s="6">
        <v>1750</v>
      </c>
      <c r="B87" t="str">
        <f t="shared" si="5"/>
        <v>Saturday</v>
      </c>
      <c r="C87">
        <f t="shared" si="6"/>
        <v>7</v>
      </c>
      <c r="D87" s="14">
        <f>A87-A85</f>
        <v>14</v>
      </c>
      <c r="E87" s="17">
        <f>A87-A85</f>
        <v>14</v>
      </c>
      <c r="F87" s="9">
        <f>A87-A85</f>
        <v>14</v>
      </c>
      <c r="G87" s="9">
        <f>A87-A85</f>
        <v>14</v>
      </c>
      <c r="H87" s="1">
        <v>0.64583333333333337</v>
      </c>
      <c r="I87" s="58">
        <v>20</v>
      </c>
      <c r="J87" s="58">
        <v>20</v>
      </c>
      <c r="K87" s="59" t="s">
        <v>7</v>
      </c>
      <c r="L87" s="59" t="s">
        <v>7</v>
      </c>
      <c r="M87">
        <v>40</v>
      </c>
      <c r="N87" t="s">
        <v>19</v>
      </c>
      <c r="O87" t="s">
        <v>954</v>
      </c>
      <c r="P87" s="7" t="s">
        <v>38</v>
      </c>
      <c r="Q87" t="s">
        <v>181</v>
      </c>
      <c r="R87" t="s">
        <v>183</v>
      </c>
      <c r="S87" t="s">
        <v>736</v>
      </c>
      <c r="T87" s="25" t="s">
        <v>996</v>
      </c>
      <c r="U87" t="s">
        <v>23</v>
      </c>
      <c r="V87">
        <v>2</v>
      </c>
      <c r="W87">
        <v>1</v>
      </c>
      <c r="X87">
        <v>0</v>
      </c>
      <c r="Y87">
        <v>6</v>
      </c>
      <c r="Z87">
        <v>3</v>
      </c>
      <c r="AA87">
        <v>0</v>
      </c>
      <c r="AB87" t="s">
        <v>7</v>
      </c>
      <c r="AC87" t="s">
        <v>7</v>
      </c>
      <c r="AD87" t="s">
        <v>182</v>
      </c>
      <c r="AE87" t="s">
        <v>183</v>
      </c>
      <c r="AF87" s="7" t="str">
        <f t="shared" si="18"/>
        <v>N</v>
      </c>
      <c r="AG87">
        <v>0</v>
      </c>
      <c r="AH87">
        <v>5</v>
      </c>
      <c r="AI87">
        <f>AG87-AH87</f>
        <v>-5</v>
      </c>
      <c r="AJ87" t="s">
        <v>47</v>
      </c>
      <c r="AK87" s="50" t="s">
        <v>7</v>
      </c>
      <c r="AL87" s="49" t="s">
        <v>623</v>
      </c>
      <c r="AM87" s="50" t="s">
        <v>7</v>
      </c>
      <c r="AN87" s="52" t="s">
        <v>1067</v>
      </c>
      <c r="AT87" t="s">
        <v>23</v>
      </c>
      <c r="AU87" t="s">
        <v>23</v>
      </c>
      <c r="AV87" t="s">
        <v>225</v>
      </c>
      <c r="AW87" t="s">
        <v>225</v>
      </c>
      <c r="AX87" t="s">
        <v>225</v>
      </c>
      <c r="AY87" t="s">
        <v>225</v>
      </c>
      <c r="AZ87">
        <v>4</v>
      </c>
      <c r="BA87">
        <v>4</v>
      </c>
      <c r="BB87">
        <v>4</v>
      </c>
      <c r="BC87">
        <v>4</v>
      </c>
      <c r="BD87">
        <v>0</v>
      </c>
      <c r="BE87">
        <v>0</v>
      </c>
      <c r="BF87">
        <v>0</v>
      </c>
      <c r="BG87">
        <v>0</v>
      </c>
      <c r="BH87" s="25">
        <v>86</v>
      </c>
      <c r="BI87" s="25">
        <v>69</v>
      </c>
      <c r="BJ87" s="25">
        <v>66</v>
      </c>
      <c r="BK87" s="25">
        <v>65</v>
      </c>
      <c r="BL87" s="25">
        <v>63</v>
      </c>
      <c r="BM87" s="25">
        <v>4</v>
      </c>
      <c r="BN87" s="27">
        <v>3</v>
      </c>
      <c r="BO87" s="27">
        <v>3</v>
      </c>
      <c r="BP87" s="27">
        <v>3</v>
      </c>
      <c r="BQ87" s="27">
        <v>3</v>
      </c>
    </row>
    <row r="88" spans="1:80" x14ac:dyDescent="0.3">
      <c r="A88" s="6">
        <v>1771</v>
      </c>
      <c r="B88" t="str">
        <f t="shared" si="5"/>
        <v>Saturday</v>
      </c>
      <c r="C88">
        <f t="shared" si="6"/>
        <v>21</v>
      </c>
      <c r="D88" s="9">
        <f>A88-A87</f>
        <v>21</v>
      </c>
      <c r="E88" s="17">
        <f t="shared" si="21"/>
        <v>21</v>
      </c>
      <c r="F88" s="9">
        <f t="shared" si="9"/>
        <v>21</v>
      </c>
      <c r="G88" s="9">
        <f t="shared" si="17"/>
        <v>21</v>
      </c>
      <c r="H88" s="1">
        <v>0.64583333333333337</v>
      </c>
      <c r="K88" s="59" t="s">
        <v>7</v>
      </c>
      <c r="L88" s="59" t="s">
        <v>7</v>
      </c>
      <c r="N88" t="s">
        <v>19</v>
      </c>
      <c r="O88" t="s">
        <v>954</v>
      </c>
      <c r="P88" s="7" t="s">
        <v>37</v>
      </c>
      <c r="Q88" t="s">
        <v>147</v>
      </c>
      <c r="R88" t="s">
        <v>148</v>
      </c>
      <c r="S88" t="s">
        <v>19</v>
      </c>
      <c r="T88" s="25" t="s">
        <v>997</v>
      </c>
      <c r="U88" t="s">
        <v>23</v>
      </c>
      <c r="V88">
        <v>3</v>
      </c>
      <c r="W88">
        <v>1</v>
      </c>
      <c r="X88">
        <v>0</v>
      </c>
      <c r="Y88">
        <v>4</v>
      </c>
      <c r="Z88">
        <v>3</v>
      </c>
      <c r="AA88">
        <v>1</v>
      </c>
      <c r="AB88" t="s">
        <v>7</v>
      </c>
      <c r="AC88" t="s">
        <v>7</v>
      </c>
      <c r="AD88" t="s">
        <v>45</v>
      </c>
      <c r="AE88" t="s">
        <v>43</v>
      </c>
      <c r="AF88" s="7" t="str">
        <f t="shared" si="18"/>
        <v>N</v>
      </c>
      <c r="AG88">
        <v>0</v>
      </c>
      <c r="AH88">
        <v>0</v>
      </c>
      <c r="AI88">
        <f>AG88-AH88</f>
        <v>0</v>
      </c>
      <c r="AJ88" t="s">
        <v>91</v>
      </c>
      <c r="AK88" s="50" t="s">
        <v>7</v>
      </c>
      <c r="AL88" s="49" t="s">
        <v>253</v>
      </c>
      <c r="AM88" s="50" t="s">
        <v>7</v>
      </c>
      <c r="AN88" s="52" t="s">
        <v>1034</v>
      </c>
      <c r="AO88">
        <f>(3000+4000)/2</f>
        <v>3500</v>
      </c>
      <c r="AP88" s="60">
        <v>3000</v>
      </c>
      <c r="AQ88" s="60">
        <v>4000</v>
      </c>
      <c r="AT88" t="s">
        <v>23</v>
      </c>
      <c r="AU88" t="s">
        <v>23</v>
      </c>
      <c r="AV88" t="s">
        <v>222</v>
      </c>
      <c r="AW88" t="s">
        <v>222</v>
      </c>
      <c r="AX88" t="s">
        <v>222</v>
      </c>
      <c r="AY88" t="s">
        <v>222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1</v>
      </c>
      <c r="BH88" s="25">
        <v>87</v>
      </c>
      <c r="BI88" s="25">
        <v>70</v>
      </c>
      <c r="BJ88" s="25">
        <v>67</v>
      </c>
      <c r="BK88" s="25">
        <v>66</v>
      </c>
      <c r="BL88" s="25">
        <v>64</v>
      </c>
      <c r="BM88" s="25">
        <v>5</v>
      </c>
      <c r="BN88" s="27">
        <v>4</v>
      </c>
      <c r="BO88" s="27">
        <v>4</v>
      </c>
      <c r="BP88" s="27">
        <v>4</v>
      </c>
      <c r="BQ88" s="27">
        <v>4</v>
      </c>
    </row>
    <row r="89" spans="1:80" x14ac:dyDescent="0.3">
      <c r="A89" s="6">
        <v>1773</v>
      </c>
      <c r="B89" t="str">
        <f t="shared" si="5"/>
        <v>Monday</v>
      </c>
      <c r="C89">
        <f t="shared" si="6"/>
        <v>2</v>
      </c>
      <c r="D89" s="13">
        <f>A89-A88</f>
        <v>2</v>
      </c>
      <c r="E89" s="17">
        <f t="shared" si="21"/>
        <v>2</v>
      </c>
      <c r="F89" s="9">
        <f>A89-A88</f>
        <v>2</v>
      </c>
      <c r="G89" s="9">
        <f t="shared" si="17"/>
        <v>2</v>
      </c>
      <c r="I89" s="58" t="s">
        <v>7</v>
      </c>
      <c r="J89" s="58" t="s">
        <v>7</v>
      </c>
      <c r="K89" s="59" t="s">
        <v>7</v>
      </c>
      <c r="L89" s="59" t="s">
        <v>7</v>
      </c>
      <c r="M89" t="s">
        <v>7</v>
      </c>
      <c r="N89" t="s">
        <v>19</v>
      </c>
      <c r="O89" t="s">
        <v>954</v>
      </c>
      <c r="P89" s="7" t="s">
        <v>38</v>
      </c>
      <c r="Q89" t="s">
        <v>103</v>
      </c>
      <c r="R89" t="s">
        <v>58</v>
      </c>
      <c r="S89" t="s">
        <v>19</v>
      </c>
      <c r="T89" s="38" t="s">
        <v>961</v>
      </c>
      <c r="U89" t="s">
        <v>23</v>
      </c>
      <c r="V89">
        <v>1</v>
      </c>
      <c r="W89">
        <v>4</v>
      </c>
      <c r="X89">
        <v>0</v>
      </c>
      <c r="Y89">
        <v>1</v>
      </c>
      <c r="Z89">
        <v>5</v>
      </c>
      <c r="AA89">
        <v>0</v>
      </c>
      <c r="AB89" t="s">
        <v>7</v>
      </c>
      <c r="AC89" t="s">
        <v>7</v>
      </c>
      <c r="AD89" t="s">
        <v>57</v>
      </c>
      <c r="AE89" t="s">
        <v>58</v>
      </c>
      <c r="AF89" s="7" t="str">
        <f t="shared" si="18"/>
        <v>N</v>
      </c>
      <c r="AG89" t="s">
        <v>7</v>
      </c>
      <c r="AH89" t="s">
        <v>7</v>
      </c>
      <c r="AI89" t="s">
        <v>7</v>
      </c>
      <c r="AJ89" t="s">
        <v>7</v>
      </c>
      <c r="AK89" s="50" t="s">
        <v>7</v>
      </c>
      <c r="AL89" s="49" t="s">
        <v>7</v>
      </c>
      <c r="AM89" s="50" t="s">
        <v>7</v>
      </c>
      <c r="AN89" s="52" t="s">
        <v>7</v>
      </c>
      <c r="AO89" t="s">
        <v>7</v>
      </c>
      <c r="AS89" t="s">
        <v>73</v>
      </c>
      <c r="AT89" s="26" t="s">
        <v>28</v>
      </c>
      <c r="AU89" t="s">
        <v>28</v>
      </c>
      <c r="BH89" s="25">
        <v>88</v>
      </c>
      <c r="BM89" s="25">
        <v>6</v>
      </c>
    </row>
    <row r="90" spans="1:80" x14ac:dyDescent="0.3">
      <c r="A90" s="6">
        <v>1778</v>
      </c>
      <c r="B90" t="str">
        <f t="shared" si="5"/>
        <v>Saturday</v>
      </c>
      <c r="C90">
        <f t="shared" si="6"/>
        <v>5</v>
      </c>
      <c r="D90" s="14">
        <f>A90-A88</f>
        <v>7</v>
      </c>
      <c r="E90" s="17">
        <f>A90-A88</f>
        <v>7</v>
      </c>
      <c r="F90" s="9">
        <f>A90-A88</f>
        <v>7</v>
      </c>
      <c r="G90" s="9">
        <f>A90-A88</f>
        <v>7</v>
      </c>
      <c r="I90" s="58" t="s">
        <v>7</v>
      </c>
      <c r="J90" s="58" t="s">
        <v>7</v>
      </c>
      <c r="K90" s="59" t="s">
        <v>7</v>
      </c>
      <c r="L90" s="59" t="s">
        <v>7</v>
      </c>
      <c r="M90" t="s">
        <v>7</v>
      </c>
      <c r="N90" t="s">
        <v>19</v>
      </c>
      <c r="O90" t="s">
        <v>954</v>
      </c>
      <c r="P90" s="7" t="s">
        <v>28</v>
      </c>
      <c r="Q90" t="s">
        <v>900</v>
      </c>
      <c r="R90" t="s">
        <v>145</v>
      </c>
      <c r="S90" t="s">
        <v>736</v>
      </c>
      <c r="T90" s="25" t="s">
        <v>998</v>
      </c>
      <c r="U90" t="s">
        <v>23</v>
      </c>
      <c r="V90">
        <v>4</v>
      </c>
      <c r="W90">
        <v>2</v>
      </c>
      <c r="X90">
        <v>0</v>
      </c>
      <c r="Y90">
        <v>5</v>
      </c>
      <c r="Z90">
        <v>3</v>
      </c>
      <c r="AA90">
        <v>0</v>
      </c>
      <c r="AB90" t="s">
        <v>7</v>
      </c>
      <c r="AC90" t="s">
        <v>7</v>
      </c>
      <c r="AD90" t="s">
        <v>163</v>
      </c>
      <c r="AE90" t="s">
        <v>164</v>
      </c>
      <c r="AF90" s="7" t="str">
        <f t="shared" si="18"/>
        <v>N</v>
      </c>
      <c r="AG90" t="s">
        <v>7</v>
      </c>
      <c r="AH90" t="s">
        <v>7</v>
      </c>
      <c r="AI90" t="s">
        <v>7</v>
      </c>
      <c r="AJ90" t="s">
        <v>7</v>
      </c>
      <c r="AK90" s="50" t="s">
        <v>7</v>
      </c>
      <c r="AL90" s="49" t="s">
        <v>7</v>
      </c>
      <c r="AM90" s="50" t="s">
        <v>7</v>
      </c>
      <c r="AN90" s="52" t="s">
        <v>7</v>
      </c>
      <c r="AO90" t="s">
        <v>7</v>
      </c>
      <c r="AS90" t="s">
        <v>73</v>
      </c>
      <c r="AT90" s="26" t="s">
        <v>28</v>
      </c>
      <c r="AU90" t="s">
        <v>28</v>
      </c>
      <c r="BH90" s="25">
        <v>89</v>
      </c>
      <c r="BM90" s="25">
        <v>7</v>
      </c>
    </row>
    <row r="91" spans="1:80" x14ac:dyDescent="0.3">
      <c r="A91" s="6">
        <v>1782</v>
      </c>
      <c r="B91" t="str">
        <f t="shared" si="5"/>
        <v>Wednesday</v>
      </c>
      <c r="C91">
        <f t="shared" si="6"/>
        <v>4</v>
      </c>
      <c r="D91" s="14">
        <f>A91-A88</f>
        <v>11</v>
      </c>
      <c r="E91" s="17">
        <f>A91-A88</f>
        <v>11</v>
      </c>
      <c r="F91" s="9">
        <f>A91-A88</f>
        <v>11</v>
      </c>
      <c r="G91" s="9">
        <f>A91-A88</f>
        <v>11</v>
      </c>
      <c r="H91" s="1">
        <v>0.61111111111111105</v>
      </c>
      <c r="I91" s="58">
        <v>25</v>
      </c>
      <c r="J91" s="58">
        <v>25</v>
      </c>
      <c r="K91" s="59" t="s">
        <v>7</v>
      </c>
      <c r="L91" s="59" t="s">
        <v>7</v>
      </c>
      <c r="M91">
        <v>50</v>
      </c>
      <c r="N91" t="s">
        <v>19</v>
      </c>
      <c r="O91" t="s">
        <v>954</v>
      </c>
      <c r="P91" s="7" t="s">
        <v>38</v>
      </c>
      <c r="Q91" t="s">
        <v>65</v>
      </c>
      <c r="R91" t="s">
        <v>46</v>
      </c>
      <c r="S91" t="s">
        <v>19</v>
      </c>
      <c r="T91" s="25" t="s">
        <v>986</v>
      </c>
      <c r="U91" t="s">
        <v>23</v>
      </c>
      <c r="V91">
        <v>5</v>
      </c>
      <c r="W91">
        <v>1</v>
      </c>
      <c r="X91">
        <v>1</v>
      </c>
      <c r="Y91">
        <v>5</v>
      </c>
      <c r="Z91">
        <v>2</v>
      </c>
      <c r="AA91">
        <v>2</v>
      </c>
      <c r="AB91" t="s">
        <v>7</v>
      </c>
      <c r="AC91" t="s">
        <v>7</v>
      </c>
      <c r="AD91" t="s">
        <v>929</v>
      </c>
      <c r="AE91" t="s">
        <v>46</v>
      </c>
      <c r="AF91" s="7" t="str">
        <f t="shared" si="18"/>
        <v>N</v>
      </c>
      <c r="AG91">
        <v>6</v>
      </c>
      <c r="AH91">
        <v>6</v>
      </c>
      <c r="AI91">
        <f>AG91-AH91</f>
        <v>0</v>
      </c>
      <c r="AJ91" t="s">
        <v>91</v>
      </c>
      <c r="AK91" s="50" t="s">
        <v>7</v>
      </c>
      <c r="AL91" s="49" t="s">
        <v>1017</v>
      </c>
      <c r="AM91" s="50" t="s">
        <v>7</v>
      </c>
      <c r="AN91" s="52" t="s">
        <v>1088</v>
      </c>
      <c r="AO91">
        <v>2000</v>
      </c>
      <c r="AT91" t="s">
        <v>23</v>
      </c>
      <c r="AU91" t="s">
        <v>23</v>
      </c>
      <c r="AV91" t="s">
        <v>237</v>
      </c>
      <c r="AW91" t="s">
        <v>237</v>
      </c>
      <c r="AX91" t="s">
        <v>237</v>
      </c>
      <c r="AY91" t="s">
        <v>237</v>
      </c>
      <c r="AZ91">
        <v>1</v>
      </c>
      <c r="BA91">
        <v>1</v>
      </c>
      <c r="BB91">
        <v>1</v>
      </c>
      <c r="BC91">
        <v>1</v>
      </c>
      <c r="BD91">
        <v>2</v>
      </c>
      <c r="BE91">
        <v>2</v>
      </c>
      <c r="BF91">
        <v>2</v>
      </c>
      <c r="BG91">
        <v>2</v>
      </c>
      <c r="BH91" s="25">
        <v>90</v>
      </c>
      <c r="BI91" s="25">
        <v>71</v>
      </c>
      <c r="BJ91" s="25">
        <v>68</v>
      </c>
      <c r="BK91" s="25">
        <v>67</v>
      </c>
      <c r="BL91" s="25">
        <v>65</v>
      </c>
      <c r="BM91" s="25">
        <v>8</v>
      </c>
      <c r="BN91" s="27">
        <v>5</v>
      </c>
      <c r="BO91" s="27">
        <v>5</v>
      </c>
      <c r="BP91" s="27">
        <v>5</v>
      </c>
      <c r="BQ91" s="27">
        <v>5</v>
      </c>
    </row>
    <row r="92" spans="1:80" x14ac:dyDescent="0.3">
      <c r="A92" s="6">
        <v>1785</v>
      </c>
      <c r="B92" t="str">
        <f t="shared" si="5"/>
        <v>Saturday</v>
      </c>
      <c r="C92">
        <f t="shared" si="6"/>
        <v>3</v>
      </c>
      <c r="D92" s="13">
        <f>A92-A91</f>
        <v>3</v>
      </c>
      <c r="E92" s="17">
        <f>A92-A91</f>
        <v>3</v>
      </c>
      <c r="F92" s="9">
        <f>A92-A91</f>
        <v>3</v>
      </c>
      <c r="G92" s="9">
        <f t="shared" si="17"/>
        <v>3</v>
      </c>
      <c r="I92" s="58" t="s">
        <v>7</v>
      </c>
      <c r="J92" s="58" t="s">
        <v>7</v>
      </c>
      <c r="K92" s="59" t="s">
        <v>7</v>
      </c>
      <c r="L92" s="59" t="s">
        <v>7</v>
      </c>
      <c r="M92" t="s">
        <v>7</v>
      </c>
      <c r="N92" t="s">
        <v>19</v>
      </c>
      <c r="O92" t="s">
        <v>954</v>
      </c>
      <c r="P92" s="7" t="s">
        <v>38</v>
      </c>
      <c r="Q92" t="s">
        <v>184</v>
      </c>
      <c r="R92" t="s">
        <v>96</v>
      </c>
      <c r="S92" t="s">
        <v>140</v>
      </c>
      <c r="T92" s="25" t="s">
        <v>984</v>
      </c>
      <c r="U92" t="s">
        <v>23</v>
      </c>
      <c r="V92">
        <v>7</v>
      </c>
      <c r="W92">
        <v>1</v>
      </c>
      <c r="X92">
        <v>1</v>
      </c>
      <c r="Y92">
        <v>8</v>
      </c>
      <c r="Z92">
        <v>1</v>
      </c>
      <c r="AA92">
        <v>1</v>
      </c>
      <c r="AB92" t="s">
        <v>7</v>
      </c>
      <c r="AC92" t="s">
        <v>7</v>
      </c>
      <c r="AD92" t="s">
        <v>95</v>
      </c>
      <c r="AE92" t="s">
        <v>96</v>
      </c>
      <c r="AF92" s="7" t="str">
        <f t="shared" si="18"/>
        <v>N</v>
      </c>
      <c r="AG92" t="s">
        <v>7</v>
      </c>
      <c r="AH92" t="s">
        <v>7</v>
      </c>
      <c r="AI92" t="s">
        <v>7</v>
      </c>
      <c r="AJ92" t="s">
        <v>7</v>
      </c>
      <c r="AK92" s="50" t="s">
        <v>7</v>
      </c>
      <c r="AL92" s="49" t="s">
        <v>7</v>
      </c>
      <c r="AM92" s="50" t="s">
        <v>7</v>
      </c>
      <c r="AN92" s="52" t="s">
        <v>7</v>
      </c>
      <c r="AO92" t="s">
        <v>7</v>
      </c>
      <c r="AS92" t="s">
        <v>180</v>
      </c>
      <c r="AT92" s="26" t="s">
        <v>28</v>
      </c>
      <c r="AU92" t="s">
        <v>28</v>
      </c>
      <c r="BH92" s="25">
        <v>91</v>
      </c>
      <c r="BM92" s="25">
        <v>9</v>
      </c>
    </row>
    <row r="93" spans="1:80" x14ac:dyDescent="0.3">
      <c r="A93" s="6">
        <v>1790</v>
      </c>
      <c r="B93" t="str">
        <f t="shared" si="5"/>
        <v>Thursday</v>
      </c>
      <c r="C93">
        <f t="shared" si="6"/>
        <v>5</v>
      </c>
      <c r="D93" s="14">
        <f>A93-A91</f>
        <v>8</v>
      </c>
      <c r="E93" s="17">
        <f>A93-A91</f>
        <v>8</v>
      </c>
      <c r="F93" s="9">
        <f>A93-A91</f>
        <v>8</v>
      </c>
      <c r="G93" s="9">
        <f>A93-A91</f>
        <v>8</v>
      </c>
      <c r="H93" s="1">
        <v>0.60416666666666663</v>
      </c>
      <c r="I93" s="66">
        <v>25</v>
      </c>
      <c r="J93" s="66">
        <v>20</v>
      </c>
      <c r="K93" s="59" t="s">
        <v>7</v>
      </c>
      <c r="L93" s="59" t="s">
        <v>7</v>
      </c>
      <c r="M93">
        <v>45</v>
      </c>
      <c r="N93" t="s">
        <v>19</v>
      </c>
      <c r="O93" t="s">
        <v>954</v>
      </c>
      <c r="P93" s="7" t="s">
        <v>37</v>
      </c>
      <c r="Q93" t="s">
        <v>133</v>
      </c>
      <c r="R93" t="s">
        <v>134</v>
      </c>
      <c r="S93" t="s">
        <v>140</v>
      </c>
      <c r="T93" s="25" t="s">
        <v>999</v>
      </c>
      <c r="U93" t="s">
        <v>23</v>
      </c>
      <c r="V93">
        <v>3</v>
      </c>
      <c r="W93">
        <v>2</v>
      </c>
      <c r="X93">
        <v>1</v>
      </c>
      <c r="Y93">
        <v>3</v>
      </c>
      <c r="Z93">
        <v>3</v>
      </c>
      <c r="AA93">
        <v>1</v>
      </c>
      <c r="AB93" t="s">
        <v>7</v>
      </c>
      <c r="AC93" t="s">
        <v>7</v>
      </c>
      <c r="AD93" t="s">
        <v>45</v>
      </c>
      <c r="AE93" t="s">
        <v>43</v>
      </c>
      <c r="AF93" s="7" t="str">
        <f t="shared" si="18"/>
        <v>N</v>
      </c>
      <c r="AG93">
        <v>18</v>
      </c>
      <c r="AH93">
        <v>0</v>
      </c>
      <c r="AI93">
        <f>AG93-AH93</f>
        <v>18</v>
      </c>
      <c r="AJ93" t="s">
        <v>13</v>
      </c>
      <c r="AK93" s="50" t="s">
        <v>7</v>
      </c>
      <c r="AL93" s="49" t="s">
        <v>1013</v>
      </c>
      <c r="AM93" s="50" t="s">
        <v>7</v>
      </c>
      <c r="AN93" s="52" t="s">
        <v>1063</v>
      </c>
      <c r="AO93">
        <v>1000</v>
      </c>
      <c r="AR93" t="s">
        <v>59</v>
      </c>
      <c r="AT93" t="s">
        <v>23</v>
      </c>
      <c r="AU93" t="s">
        <v>23</v>
      </c>
      <c r="AV93" t="s">
        <v>247</v>
      </c>
      <c r="AW93" t="s">
        <v>247</v>
      </c>
      <c r="AX93" t="s">
        <v>247</v>
      </c>
      <c r="AY93" t="s">
        <v>247</v>
      </c>
      <c r="AZ93">
        <v>2</v>
      </c>
      <c r="BA93">
        <v>2</v>
      </c>
      <c r="BB93">
        <v>2</v>
      </c>
      <c r="BC93">
        <v>2</v>
      </c>
      <c r="BD93">
        <v>3</v>
      </c>
      <c r="BE93">
        <v>3</v>
      </c>
      <c r="BF93">
        <v>3</v>
      </c>
      <c r="BG93">
        <v>3</v>
      </c>
      <c r="BH93" s="25">
        <v>92</v>
      </c>
      <c r="BI93" s="25">
        <v>72</v>
      </c>
      <c r="BJ93" s="25">
        <v>69</v>
      </c>
      <c r="BK93" s="25">
        <v>68</v>
      </c>
      <c r="BL93" s="25">
        <v>66</v>
      </c>
      <c r="BM93" s="25">
        <v>10</v>
      </c>
      <c r="BN93" s="27">
        <v>6</v>
      </c>
      <c r="BO93" s="27">
        <v>6</v>
      </c>
      <c r="BP93" s="27">
        <v>6</v>
      </c>
      <c r="BQ93" s="27">
        <v>6</v>
      </c>
      <c r="BR93" s="27" t="s">
        <v>23</v>
      </c>
      <c r="BS93" s="27" t="s">
        <v>23</v>
      </c>
      <c r="BT93" s="71" t="s">
        <v>23</v>
      </c>
      <c r="BU93" s="27" t="s">
        <v>23</v>
      </c>
      <c r="BV93" s="27"/>
      <c r="BW93" s="27"/>
      <c r="BY93" s="71" t="s">
        <v>23</v>
      </c>
      <c r="BZ93" s="7" t="s">
        <v>23</v>
      </c>
      <c r="CA93" s="7" t="s">
        <v>23</v>
      </c>
      <c r="CB93" s="7" t="s">
        <v>23</v>
      </c>
    </row>
    <row r="94" spans="1:80" x14ac:dyDescent="0.3">
      <c r="A94" s="6">
        <v>2093</v>
      </c>
      <c r="B94" t="str">
        <f t="shared" si="5"/>
        <v>Saturday</v>
      </c>
      <c r="C94">
        <f t="shared" si="6"/>
        <v>303</v>
      </c>
      <c r="D94" s="13">
        <f>A94-A93</f>
        <v>303</v>
      </c>
      <c r="E94" s="17">
        <f>A94-A93</f>
        <v>303</v>
      </c>
      <c r="F94" s="9">
        <f t="shared" si="9"/>
        <v>303</v>
      </c>
      <c r="G94" s="9">
        <f t="shared" si="17"/>
        <v>303</v>
      </c>
      <c r="I94" s="58" t="s">
        <v>7</v>
      </c>
      <c r="J94" s="58" t="s">
        <v>7</v>
      </c>
      <c r="K94" s="59" t="s">
        <v>7</v>
      </c>
      <c r="L94" s="59" t="s">
        <v>7</v>
      </c>
      <c r="M94" t="s">
        <v>7</v>
      </c>
      <c r="N94" t="s">
        <v>19</v>
      </c>
      <c r="O94" t="s">
        <v>955</v>
      </c>
      <c r="P94" s="7" t="s">
        <v>37</v>
      </c>
      <c r="Q94" t="s">
        <v>86</v>
      </c>
      <c r="R94" t="s">
        <v>87</v>
      </c>
      <c r="S94" t="s">
        <v>736</v>
      </c>
      <c r="T94" s="25" t="s">
        <v>1001</v>
      </c>
      <c r="U94" t="s">
        <v>23</v>
      </c>
      <c r="V94">
        <v>0</v>
      </c>
      <c r="W94">
        <v>0</v>
      </c>
      <c r="X94">
        <v>0</v>
      </c>
      <c r="Y94">
        <v>3</v>
      </c>
      <c r="Z94">
        <v>5</v>
      </c>
      <c r="AA94">
        <v>2</v>
      </c>
      <c r="AB94" t="s">
        <v>7</v>
      </c>
      <c r="AC94" t="s">
        <v>7</v>
      </c>
      <c r="AD94" t="s">
        <v>45</v>
      </c>
      <c r="AE94" t="s">
        <v>43</v>
      </c>
      <c r="AF94" s="7" t="str">
        <f t="shared" si="18"/>
        <v>N</v>
      </c>
      <c r="AG94" t="s">
        <v>7</v>
      </c>
      <c r="AH94" t="s">
        <v>7</v>
      </c>
      <c r="AI94" t="s">
        <v>7</v>
      </c>
      <c r="AJ94" t="s">
        <v>7</v>
      </c>
      <c r="AK94" s="50" t="s">
        <v>7</v>
      </c>
      <c r="AL94" s="49" t="s">
        <v>7</v>
      </c>
      <c r="AM94" s="50" t="s">
        <v>7</v>
      </c>
      <c r="AN94" s="52" t="s">
        <v>7</v>
      </c>
      <c r="AO94" t="s">
        <v>7</v>
      </c>
      <c r="AS94" t="s">
        <v>185</v>
      </c>
      <c r="AT94" s="26" t="s">
        <v>28</v>
      </c>
      <c r="AU94" t="s">
        <v>28</v>
      </c>
      <c r="BH94" s="25">
        <v>93</v>
      </c>
      <c r="BM94" s="25">
        <v>1</v>
      </c>
    </row>
    <row r="95" spans="1:80" x14ac:dyDescent="0.3">
      <c r="A95" s="6">
        <v>2099</v>
      </c>
      <c r="B95" t="str">
        <f t="shared" si="5"/>
        <v>Friday</v>
      </c>
      <c r="C95">
        <f t="shared" si="6"/>
        <v>6</v>
      </c>
      <c r="D95" s="14">
        <f>A95-A93</f>
        <v>309</v>
      </c>
      <c r="E95" s="17">
        <f>A95-A93</f>
        <v>309</v>
      </c>
      <c r="F95" s="9">
        <f>A95-A93</f>
        <v>309</v>
      </c>
      <c r="G95" s="9">
        <f>A95-A93</f>
        <v>309</v>
      </c>
      <c r="H95" s="1"/>
      <c r="I95" s="58">
        <v>15</v>
      </c>
      <c r="J95" s="58">
        <v>15</v>
      </c>
      <c r="K95" s="59" t="s">
        <v>7</v>
      </c>
      <c r="L95" s="59" t="s">
        <v>7</v>
      </c>
      <c r="M95">
        <v>30</v>
      </c>
      <c r="N95" t="s">
        <v>19</v>
      </c>
      <c r="O95" t="s">
        <v>955</v>
      </c>
      <c r="P95" s="7" t="s">
        <v>38</v>
      </c>
      <c r="Q95" t="s">
        <v>93</v>
      </c>
      <c r="R95" t="s">
        <v>94</v>
      </c>
      <c r="S95" t="s">
        <v>736</v>
      </c>
      <c r="T95" s="25" t="s">
        <v>1000</v>
      </c>
      <c r="U95" t="s">
        <v>23</v>
      </c>
      <c r="V95">
        <v>0</v>
      </c>
      <c r="W95">
        <v>0</v>
      </c>
      <c r="X95">
        <v>0</v>
      </c>
      <c r="Y95">
        <v>2</v>
      </c>
      <c r="Z95">
        <v>5</v>
      </c>
      <c r="AA95">
        <v>0</v>
      </c>
      <c r="AB95" t="s">
        <v>7</v>
      </c>
      <c r="AC95" t="s">
        <v>7</v>
      </c>
      <c r="AD95" t="s">
        <v>167</v>
      </c>
      <c r="AE95" t="s">
        <v>94</v>
      </c>
      <c r="AF95" s="7" t="str">
        <f t="shared" si="18"/>
        <v>N</v>
      </c>
      <c r="AG95">
        <v>5</v>
      </c>
      <c r="AH95">
        <v>0</v>
      </c>
      <c r="AI95">
        <f t="shared" ref="AI95:AI111" si="22">AG95-AH95</f>
        <v>5</v>
      </c>
      <c r="AJ95" t="s">
        <v>13</v>
      </c>
      <c r="AK95" s="50" t="s">
        <v>7</v>
      </c>
      <c r="AL95" s="49" t="s">
        <v>492</v>
      </c>
      <c r="AM95" s="50" t="s">
        <v>7</v>
      </c>
      <c r="AN95" s="52" t="s">
        <v>1081</v>
      </c>
      <c r="AO95">
        <v>1000</v>
      </c>
      <c r="AT95" t="s">
        <v>23</v>
      </c>
      <c r="AU95" t="s">
        <v>23</v>
      </c>
      <c r="AV95" t="s">
        <v>221</v>
      </c>
      <c r="AW95" t="s">
        <v>221</v>
      </c>
      <c r="AX95" t="s">
        <v>221</v>
      </c>
      <c r="AY95" t="s">
        <v>221</v>
      </c>
      <c r="AZ95">
        <v>1</v>
      </c>
      <c r="BA95">
        <v>2</v>
      </c>
      <c r="BB95">
        <v>3</v>
      </c>
      <c r="BC95">
        <v>1</v>
      </c>
      <c r="BD95">
        <v>0</v>
      </c>
      <c r="BE95">
        <v>0</v>
      </c>
      <c r="BF95">
        <v>0</v>
      </c>
      <c r="BG95">
        <v>0</v>
      </c>
      <c r="BH95" s="25">
        <v>94</v>
      </c>
      <c r="BI95" s="25">
        <v>73</v>
      </c>
      <c r="BJ95" s="25">
        <v>70</v>
      </c>
      <c r="BK95" s="25">
        <v>69</v>
      </c>
      <c r="BL95" s="25">
        <v>67</v>
      </c>
      <c r="BM95" s="25">
        <v>2</v>
      </c>
      <c r="BN95" s="27">
        <v>1</v>
      </c>
      <c r="BO95" s="27">
        <v>1</v>
      </c>
      <c r="BP95" s="27">
        <v>1</v>
      </c>
      <c r="BQ95" s="27">
        <v>1</v>
      </c>
    </row>
    <row r="96" spans="1:80" x14ac:dyDescent="0.3">
      <c r="A96" s="6">
        <v>2107</v>
      </c>
      <c r="B96" t="str">
        <f t="shared" si="5"/>
        <v>Saturday</v>
      </c>
      <c r="C96">
        <f t="shared" si="6"/>
        <v>8</v>
      </c>
      <c r="D96" s="9">
        <f t="shared" ref="D96:D102" si="23">A96-A95</f>
        <v>8</v>
      </c>
      <c r="E96" s="17">
        <f>A96-A95</f>
        <v>8</v>
      </c>
      <c r="F96" s="9">
        <f t="shared" si="9"/>
        <v>8</v>
      </c>
      <c r="G96" s="9">
        <f t="shared" si="17"/>
        <v>8</v>
      </c>
      <c r="I96" s="58">
        <v>20</v>
      </c>
      <c r="J96" s="58">
        <v>20</v>
      </c>
      <c r="K96" s="59" t="s">
        <v>7</v>
      </c>
      <c r="L96" s="59" t="s">
        <v>7</v>
      </c>
      <c r="M96">
        <v>40</v>
      </c>
      <c r="N96" t="s">
        <v>19</v>
      </c>
      <c r="O96" t="s">
        <v>955</v>
      </c>
      <c r="P96" s="7" t="s">
        <v>38</v>
      </c>
      <c r="Q96" t="s">
        <v>181</v>
      </c>
      <c r="R96" t="s">
        <v>183</v>
      </c>
      <c r="S96" t="s">
        <v>19</v>
      </c>
      <c r="T96" s="25" t="s">
        <v>1002</v>
      </c>
      <c r="U96" t="s">
        <v>23</v>
      </c>
      <c r="V96">
        <v>2</v>
      </c>
      <c r="W96">
        <v>0</v>
      </c>
      <c r="X96">
        <v>0</v>
      </c>
      <c r="Y96">
        <v>6</v>
      </c>
      <c r="Z96">
        <v>4</v>
      </c>
      <c r="AA96">
        <v>0</v>
      </c>
      <c r="AB96" t="s">
        <v>7</v>
      </c>
      <c r="AC96" t="s">
        <v>7</v>
      </c>
      <c r="AD96" t="s">
        <v>182</v>
      </c>
      <c r="AE96" t="s">
        <v>183</v>
      </c>
      <c r="AF96" s="7" t="str">
        <f t="shared" si="18"/>
        <v>N</v>
      </c>
      <c r="AG96">
        <v>0</v>
      </c>
      <c r="AH96">
        <v>10</v>
      </c>
      <c r="AI96">
        <f t="shared" si="22"/>
        <v>-10</v>
      </c>
      <c r="AJ96" t="s">
        <v>47</v>
      </c>
      <c r="AK96" s="50" t="s">
        <v>7</v>
      </c>
      <c r="AL96" s="49" t="s">
        <v>1030</v>
      </c>
      <c r="AM96" s="50" t="s">
        <v>7</v>
      </c>
      <c r="AN96" s="52" t="s">
        <v>1089</v>
      </c>
      <c r="AO96">
        <v>1000</v>
      </c>
      <c r="AT96" t="s">
        <v>23</v>
      </c>
      <c r="AU96" t="s">
        <v>23</v>
      </c>
      <c r="AV96" t="s">
        <v>223</v>
      </c>
      <c r="AW96" t="s">
        <v>223</v>
      </c>
      <c r="AX96" t="s">
        <v>223</v>
      </c>
      <c r="AY96" t="s">
        <v>223</v>
      </c>
      <c r="AZ96">
        <v>2</v>
      </c>
      <c r="BA96">
        <v>3</v>
      </c>
      <c r="BB96">
        <v>4</v>
      </c>
      <c r="BC96">
        <v>2</v>
      </c>
      <c r="BD96">
        <v>0</v>
      </c>
      <c r="BE96">
        <v>0</v>
      </c>
      <c r="BF96">
        <v>0</v>
      </c>
      <c r="BG96">
        <v>0</v>
      </c>
      <c r="BH96" s="25">
        <v>95</v>
      </c>
      <c r="BI96" s="25">
        <v>74</v>
      </c>
      <c r="BJ96" s="25">
        <v>71</v>
      </c>
      <c r="BK96" s="25">
        <v>70</v>
      </c>
      <c r="BL96" s="25">
        <v>68</v>
      </c>
      <c r="BM96" s="25">
        <v>3</v>
      </c>
      <c r="BN96" s="27">
        <v>2</v>
      </c>
      <c r="BO96" s="27">
        <v>2</v>
      </c>
      <c r="BP96" s="27">
        <v>2</v>
      </c>
      <c r="BQ96" s="27">
        <v>2</v>
      </c>
    </row>
    <row r="97" spans="1:80" x14ac:dyDescent="0.3">
      <c r="A97" s="6">
        <v>2126</v>
      </c>
      <c r="B97" t="str">
        <f t="shared" si="5"/>
        <v>Thursday</v>
      </c>
      <c r="C97">
        <f t="shared" si="6"/>
        <v>19</v>
      </c>
      <c r="D97" s="9">
        <f t="shared" si="23"/>
        <v>19</v>
      </c>
      <c r="E97" s="17">
        <f t="shared" ref="E97:E104" si="24">A97-A96</f>
        <v>19</v>
      </c>
      <c r="F97" s="9">
        <f t="shared" si="9"/>
        <v>19</v>
      </c>
      <c r="G97" s="9">
        <f t="shared" si="17"/>
        <v>19</v>
      </c>
      <c r="H97" s="1"/>
      <c r="K97" s="59" t="s">
        <v>7</v>
      </c>
      <c r="L97" s="59" t="s">
        <v>7</v>
      </c>
      <c r="N97" t="s">
        <v>19</v>
      </c>
      <c r="O97" t="s">
        <v>955</v>
      </c>
      <c r="P97" s="7" t="s">
        <v>38</v>
      </c>
      <c r="Q97" t="s">
        <v>147</v>
      </c>
      <c r="R97" t="s">
        <v>148</v>
      </c>
      <c r="S97" t="s">
        <v>19</v>
      </c>
      <c r="T97" s="25" t="s">
        <v>997</v>
      </c>
      <c r="U97" t="s">
        <v>23</v>
      </c>
      <c r="V97">
        <v>2</v>
      </c>
      <c r="W97">
        <v>0</v>
      </c>
      <c r="X97">
        <v>0</v>
      </c>
      <c r="Y97">
        <v>4</v>
      </c>
      <c r="Z97">
        <v>2</v>
      </c>
      <c r="AA97">
        <v>1</v>
      </c>
      <c r="AB97" t="s">
        <v>7</v>
      </c>
      <c r="AC97" t="s">
        <v>7</v>
      </c>
      <c r="AD97" t="s">
        <v>186</v>
      </c>
      <c r="AE97" t="s">
        <v>148</v>
      </c>
      <c r="AF97" s="7" t="str">
        <f t="shared" si="18"/>
        <v>N</v>
      </c>
      <c r="AG97">
        <v>29</v>
      </c>
      <c r="AH97">
        <v>0</v>
      </c>
      <c r="AI97">
        <f t="shared" si="22"/>
        <v>29</v>
      </c>
      <c r="AJ97" t="s">
        <v>13</v>
      </c>
      <c r="AK97" s="50" t="s">
        <v>7</v>
      </c>
      <c r="AL97" s="49" t="s">
        <v>1021</v>
      </c>
      <c r="AM97" s="50" t="s">
        <v>7</v>
      </c>
      <c r="AN97" s="52" t="s">
        <v>1090</v>
      </c>
      <c r="AO97">
        <v>3000</v>
      </c>
      <c r="AR97" t="s">
        <v>172</v>
      </c>
      <c r="AT97" t="s">
        <v>23</v>
      </c>
      <c r="AU97" t="s">
        <v>23</v>
      </c>
      <c r="AV97" t="s">
        <v>222</v>
      </c>
      <c r="AW97" t="s">
        <v>222</v>
      </c>
      <c r="AX97" t="s">
        <v>222</v>
      </c>
      <c r="AY97" t="s">
        <v>222</v>
      </c>
      <c r="AZ97">
        <v>0</v>
      </c>
      <c r="BA97">
        <v>0</v>
      </c>
      <c r="BB97">
        <v>0</v>
      </c>
      <c r="BC97">
        <v>0</v>
      </c>
      <c r="BD97">
        <v>1</v>
      </c>
      <c r="BE97">
        <v>1</v>
      </c>
      <c r="BF97">
        <v>1</v>
      </c>
      <c r="BG97">
        <v>1</v>
      </c>
      <c r="BH97" s="25">
        <v>96</v>
      </c>
      <c r="BI97" s="25">
        <v>75</v>
      </c>
      <c r="BJ97" s="25">
        <v>72</v>
      </c>
      <c r="BK97" s="25">
        <v>71</v>
      </c>
      <c r="BL97" s="25">
        <v>69</v>
      </c>
      <c r="BM97" s="25">
        <v>4</v>
      </c>
      <c r="BN97" s="27">
        <v>3</v>
      </c>
      <c r="BO97" s="27">
        <v>3</v>
      </c>
      <c r="BP97" s="27">
        <v>3</v>
      </c>
      <c r="BQ97" s="27">
        <v>3</v>
      </c>
    </row>
    <row r="98" spans="1:80" x14ac:dyDescent="0.3">
      <c r="A98" s="6">
        <v>2142</v>
      </c>
      <c r="B98" t="str">
        <f t="shared" si="5"/>
        <v>Saturday</v>
      </c>
      <c r="C98">
        <f t="shared" si="6"/>
        <v>16</v>
      </c>
      <c r="D98" s="9">
        <f t="shared" si="23"/>
        <v>16</v>
      </c>
      <c r="E98" s="17">
        <f t="shared" si="24"/>
        <v>16</v>
      </c>
      <c r="F98" s="9">
        <f t="shared" si="9"/>
        <v>16</v>
      </c>
      <c r="G98" s="9">
        <f t="shared" si="17"/>
        <v>16</v>
      </c>
      <c r="H98" s="1">
        <v>0.63888888888888895</v>
      </c>
      <c r="I98" s="58">
        <v>25</v>
      </c>
      <c r="J98" s="58">
        <v>25</v>
      </c>
      <c r="K98" s="59" t="s">
        <v>7</v>
      </c>
      <c r="L98" s="59" t="s">
        <v>7</v>
      </c>
      <c r="M98">
        <v>50</v>
      </c>
      <c r="N98" t="s">
        <v>19</v>
      </c>
      <c r="O98" t="s">
        <v>955</v>
      </c>
      <c r="P98" s="7" t="s">
        <v>37</v>
      </c>
      <c r="Q98" t="s">
        <v>65</v>
      </c>
      <c r="R98" t="s">
        <v>46</v>
      </c>
      <c r="S98" t="s">
        <v>19</v>
      </c>
      <c r="T98" s="25" t="s">
        <v>997</v>
      </c>
      <c r="U98" t="s">
        <v>23</v>
      </c>
      <c r="V98">
        <v>2</v>
      </c>
      <c r="W98">
        <v>3</v>
      </c>
      <c r="X98">
        <v>0</v>
      </c>
      <c r="Y98">
        <v>4</v>
      </c>
      <c r="Z98">
        <v>3</v>
      </c>
      <c r="AA98">
        <v>1</v>
      </c>
      <c r="AB98" t="s">
        <v>7</v>
      </c>
      <c r="AC98" t="s">
        <v>7</v>
      </c>
      <c r="AD98" t="s">
        <v>45</v>
      </c>
      <c r="AE98" t="s">
        <v>43</v>
      </c>
      <c r="AF98" s="7" t="str">
        <f t="shared" ref="AF98:AF138" si="25">IF(ISBLANK(S98)," ",IF(AND(S98=N98,N98&lt;&gt;"Independent"),"Y","N"))</f>
        <v>N</v>
      </c>
      <c r="AG98">
        <v>0</v>
      </c>
      <c r="AH98">
        <v>0</v>
      </c>
      <c r="AI98">
        <f t="shared" si="22"/>
        <v>0</v>
      </c>
      <c r="AJ98" t="s">
        <v>91</v>
      </c>
      <c r="AK98" s="50" t="s">
        <v>7</v>
      </c>
      <c r="AL98" s="49" t="s">
        <v>1034</v>
      </c>
      <c r="AM98" s="50" t="s">
        <v>7</v>
      </c>
      <c r="AN98" s="52" t="s">
        <v>1034</v>
      </c>
      <c r="AO98">
        <v>5000</v>
      </c>
      <c r="AS98" s="22" t="s">
        <v>187</v>
      </c>
      <c r="AT98" t="s">
        <v>23</v>
      </c>
      <c r="AU98" t="s">
        <v>23</v>
      </c>
      <c r="AV98" t="s">
        <v>221</v>
      </c>
      <c r="AW98" t="s">
        <v>221</v>
      </c>
      <c r="AX98" t="s">
        <v>221</v>
      </c>
      <c r="AY98" t="s">
        <v>221</v>
      </c>
      <c r="AZ98">
        <v>1</v>
      </c>
      <c r="BA98">
        <v>1</v>
      </c>
      <c r="BB98">
        <v>1</v>
      </c>
      <c r="BC98">
        <v>1</v>
      </c>
      <c r="BD98">
        <v>0</v>
      </c>
      <c r="BE98">
        <v>0</v>
      </c>
      <c r="BF98">
        <v>0</v>
      </c>
      <c r="BG98">
        <v>0</v>
      </c>
      <c r="BH98" s="25">
        <v>97</v>
      </c>
      <c r="BI98" s="25">
        <v>76</v>
      </c>
      <c r="BJ98" s="25">
        <v>73</v>
      </c>
      <c r="BK98" s="25">
        <v>72</v>
      </c>
      <c r="BL98" s="25">
        <v>70</v>
      </c>
      <c r="BM98" s="25">
        <v>5</v>
      </c>
      <c r="BN98" s="27">
        <v>4</v>
      </c>
      <c r="BO98" s="27">
        <v>4</v>
      </c>
      <c r="BP98" s="27">
        <v>4</v>
      </c>
      <c r="BQ98" s="27">
        <v>4</v>
      </c>
    </row>
    <row r="99" spans="1:80" x14ac:dyDescent="0.3">
      <c r="A99" s="6">
        <v>2149</v>
      </c>
      <c r="B99" t="str">
        <f t="shared" si="5"/>
        <v>Saturday</v>
      </c>
      <c r="C99">
        <f t="shared" si="6"/>
        <v>7</v>
      </c>
      <c r="D99" s="9">
        <f t="shared" si="23"/>
        <v>7</v>
      </c>
      <c r="E99" s="17">
        <f t="shared" si="24"/>
        <v>7</v>
      </c>
      <c r="F99" s="9">
        <f t="shared" si="9"/>
        <v>7</v>
      </c>
      <c r="G99" s="9">
        <f t="shared" si="17"/>
        <v>7</v>
      </c>
      <c r="H99" s="1">
        <v>0.625</v>
      </c>
      <c r="I99" s="62" t="s">
        <v>1156</v>
      </c>
      <c r="J99" s="62" t="s">
        <v>1156</v>
      </c>
      <c r="K99" s="59" t="s">
        <v>7</v>
      </c>
      <c r="L99" s="59" t="s">
        <v>7</v>
      </c>
      <c r="M99" s="63" t="s">
        <v>1155</v>
      </c>
      <c r="N99" t="s">
        <v>19</v>
      </c>
      <c r="O99" t="s">
        <v>955</v>
      </c>
      <c r="P99" s="7" t="s">
        <v>37</v>
      </c>
      <c r="Q99" t="s">
        <v>175</v>
      </c>
      <c r="R99" t="s">
        <v>94</v>
      </c>
      <c r="S99" t="s">
        <v>736</v>
      </c>
      <c r="T99" s="25" t="s">
        <v>1003</v>
      </c>
      <c r="U99" t="s">
        <v>23</v>
      </c>
      <c r="V99">
        <v>6</v>
      </c>
      <c r="W99">
        <v>1</v>
      </c>
      <c r="X99">
        <v>0</v>
      </c>
      <c r="Y99">
        <v>7</v>
      </c>
      <c r="Z99">
        <v>2</v>
      </c>
      <c r="AA99">
        <v>0</v>
      </c>
      <c r="AB99" t="s">
        <v>7</v>
      </c>
      <c r="AC99" t="s">
        <v>7</v>
      </c>
      <c r="AD99" t="s">
        <v>45</v>
      </c>
      <c r="AE99" t="s">
        <v>43</v>
      </c>
      <c r="AF99" s="7" t="str">
        <f t="shared" si="25"/>
        <v>N</v>
      </c>
      <c r="AG99">
        <v>22</v>
      </c>
      <c r="AH99">
        <v>0</v>
      </c>
      <c r="AI99">
        <f t="shared" si="22"/>
        <v>22</v>
      </c>
      <c r="AJ99" t="s">
        <v>13</v>
      </c>
      <c r="AK99" s="50" t="s">
        <v>7</v>
      </c>
      <c r="AL99" s="49" t="s">
        <v>1019</v>
      </c>
      <c r="AM99" s="50" t="s">
        <v>7</v>
      </c>
      <c r="AN99" s="51" t="s">
        <v>1059</v>
      </c>
      <c r="AT99" t="s">
        <v>23</v>
      </c>
      <c r="AU99" t="s">
        <v>23</v>
      </c>
      <c r="AV99" t="s">
        <v>237</v>
      </c>
      <c r="AW99" t="s">
        <v>237</v>
      </c>
      <c r="AX99" t="s">
        <v>237</v>
      </c>
      <c r="AY99" t="s">
        <v>237</v>
      </c>
      <c r="AZ99">
        <v>2</v>
      </c>
      <c r="BA99">
        <v>2</v>
      </c>
      <c r="BB99">
        <v>2</v>
      </c>
      <c r="BC99">
        <v>2</v>
      </c>
      <c r="BD99">
        <v>1</v>
      </c>
      <c r="BE99">
        <v>1</v>
      </c>
      <c r="BF99">
        <v>1</v>
      </c>
      <c r="BG99">
        <v>1</v>
      </c>
      <c r="BH99" s="25">
        <v>98</v>
      </c>
      <c r="BI99" s="25">
        <v>77</v>
      </c>
      <c r="BJ99" s="25">
        <v>74</v>
      </c>
      <c r="BK99" s="25">
        <v>73</v>
      </c>
      <c r="BL99" s="25">
        <v>71</v>
      </c>
      <c r="BM99" s="25">
        <v>6</v>
      </c>
      <c r="BN99" s="27">
        <v>5</v>
      </c>
      <c r="BO99" s="27">
        <v>5</v>
      </c>
      <c r="BP99" s="27">
        <v>5</v>
      </c>
      <c r="BQ99" s="27">
        <v>5</v>
      </c>
    </row>
    <row r="100" spans="1:80" x14ac:dyDescent="0.3">
      <c r="A100" s="6">
        <v>2161</v>
      </c>
      <c r="B100" t="str">
        <f t="shared" si="5"/>
        <v>Thursday</v>
      </c>
      <c r="C100">
        <f t="shared" si="6"/>
        <v>12</v>
      </c>
      <c r="D100" s="9">
        <f t="shared" si="23"/>
        <v>12</v>
      </c>
      <c r="E100" s="17">
        <f t="shared" si="24"/>
        <v>12</v>
      </c>
      <c r="F100" s="9">
        <f t="shared" si="9"/>
        <v>12</v>
      </c>
      <c r="G100" s="9">
        <f t="shared" si="17"/>
        <v>12</v>
      </c>
      <c r="H100" s="1">
        <v>0.625</v>
      </c>
      <c r="I100" s="66">
        <v>27.5</v>
      </c>
      <c r="J100" s="66">
        <v>27</v>
      </c>
      <c r="K100" s="59" t="s">
        <v>7</v>
      </c>
      <c r="L100" s="59" t="s">
        <v>7</v>
      </c>
      <c r="M100">
        <v>52.5</v>
      </c>
      <c r="N100" t="s">
        <v>19</v>
      </c>
      <c r="O100" t="s">
        <v>955</v>
      </c>
      <c r="P100" s="7" t="s">
        <v>28</v>
      </c>
      <c r="Q100" t="s">
        <v>112</v>
      </c>
      <c r="R100" t="s">
        <v>113</v>
      </c>
      <c r="S100" t="s">
        <v>19</v>
      </c>
      <c r="T100" s="25" t="s">
        <v>993</v>
      </c>
      <c r="U100" t="s">
        <v>23</v>
      </c>
      <c r="V100">
        <v>3</v>
      </c>
      <c r="W100">
        <v>3</v>
      </c>
      <c r="X100">
        <v>0</v>
      </c>
      <c r="Y100">
        <v>3</v>
      </c>
      <c r="Z100">
        <v>4</v>
      </c>
      <c r="AA100">
        <v>0</v>
      </c>
      <c r="AB100" t="s">
        <v>7</v>
      </c>
      <c r="AC100" t="s">
        <v>7</v>
      </c>
      <c r="AD100" t="s">
        <v>188</v>
      </c>
      <c r="AE100" t="s">
        <v>62</v>
      </c>
      <c r="AF100" s="7" t="str">
        <f t="shared" si="25"/>
        <v>N</v>
      </c>
      <c r="AG100">
        <v>10</v>
      </c>
      <c r="AH100">
        <v>0</v>
      </c>
      <c r="AI100">
        <f t="shared" si="22"/>
        <v>10</v>
      </c>
      <c r="AJ100" t="s">
        <v>13</v>
      </c>
      <c r="AK100" s="50" t="s">
        <v>7</v>
      </c>
      <c r="AL100" s="49" t="s">
        <v>492</v>
      </c>
      <c r="AM100" s="50" t="s">
        <v>7</v>
      </c>
      <c r="AN100" s="52" t="s">
        <v>1074</v>
      </c>
      <c r="AO100">
        <v>1500</v>
      </c>
      <c r="AR100" t="s">
        <v>59</v>
      </c>
      <c r="AT100" t="s">
        <v>23</v>
      </c>
      <c r="AU100" t="s">
        <v>23</v>
      </c>
      <c r="AV100" t="s">
        <v>221</v>
      </c>
      <c r="AW100" t="s">
        <v>221</v>
      </c>
      <c r="AX100" t="s">
        <v>221</v>
      </c>
      <c r="AY100" t="s">
        <v>221</v>
      </c>
      <c r="AZ100">
        <v>3</v>
      </c>
      <c r="BA100">
        <v>3</v>
      </c>
      <c r="BB100">
        <v>3</v>
      </c>
      <c r="BC100">
        <v>3</v>
      </c>
      <c r="BD100">
        <v>0</v>
      </c>
      <c r="BE100">
        <v>0</v>
      </c>
      <c r="BF100">
        <v>0</v>
      </c>
      <c r="BG100">
        <v>0</v>
      </c>
      <c r="BH100" s="25">
        <v>99</v>
      </c>
      <c r="BI100" s="25">
        <v>78</v>
      </c>
      <c r="BJ100" s="25">
        <v>75</v>
      </c>
      <c r="BK100" s="25">
        <v>74</v>
      </c>
      <c r="BL100" s="25">
        <v>72</v>
      </c>
      <c r="BM100" s="25">
        <v>7</v>
      </c>
      <c r="BN100" s="27">
        <v>6</v>
      </c>
      <c r="BO100" s="27">
        <v>6</v>
      </c>
      <c r="BP100" s="27">
        <v>6</v>
      </c>
      <c r="BQ100" s="27">
        <v>6</v>
      </c>
      <c r="BR100" s="27" t="s">
        <v>23</v>
      </c>
      <c r="BS100" s="27" t="s">
        <v>23</v>
      </c>
      <c r="BT100" s="71" t="s">
        <v>23</v>
      </c>
      <c r="BU100" s="27" t="s">
        <v>23</v>
      </c>
      <c r="BV100" s="27"/>
      <c r="BW100" s="27"/>
      <c r="BY100" s="71" t="s">
        <v>23</v>
      </c>
      <c r="BZ100" s="7" t="s">
        <v>23</v>
      </c>
      <c r="CA100" s="7" t="s">
        <v>23</v>
      </c>
      <c r="CB100" s="7" t="s">
        <v>23</v>
      </c>
    </row>
    <row r="101" spans="1:80" x14ac:dyDescent="0.3">
      <c r="A101" s="6">
        <v>2466</v>
      </c>
      <c r="B101" t="str">
        <f t="shared" si="5"/>
        <v>Monday</v>
      </c>
      <c r="C101">
        <f t="shared" si="6"/>
        <v>305</v>
      </c>
      <c r="D101" s="9">
        <f t="shared" si="23"/>
        <v>305</v>
      </c>
      <c r="E101" s="17">
        <f t="shared" si="24"/>
        <v>305</v>
      </c>
      <c r="F101" s="9">
        <f t="shared" si="9"/>
        <v>305</v>
      </c>
      <c r="G101" s="9">
        <f t="shared" si="17"/>
        <v>305</v>
      </c>
      <c r="H101" s="1">
        <v>0.64583333333333337</v>
      </c>
      <c r="I101" s="66">
        <v>30</v>
      </c>
      <c r="J101" s="66">
        <v>10</v>
      </c>
      <c r="K101" s="59" t="s">
        <v>7</v>
      </c>
      <c r="L101" s="59" t="s">
        <v>7</v>
      </c>
      <c r="M101">
        <v>40</v>
      </c>
      <c r="N101" t="s">
        <v>19</v>
      </c>
      <c r="O101" t="s">
        <v>956</v>
      </c>
      <c r="P101" s="7" t="s">
        <v>37</v>
      </c>
      <c r="Q101" t="s">
        <v>189</v>
      </c>
      <c r="R101" t="s">
        <v>190</v>
      </c>
      <c r="S101" t="s">
        <v>736</v>
      </c>
      <c r="T101" s="45" t="s">
        <v>1004</v>
      </c>
      <c r="U101" t="s">
        <v>23</v>
      </c>
      <c r="V101">
        <v>0</v>
      </c>
      <c r="W101">
        <v>0</v>
      </c>
      <c r="X101">
        <v>0</v>
      </c>
      <c r="Y101">
        <v>3</v>
      </c>
      <c r="Z101">
        <v>5</v>
      </c>
      <c r="AA101">
        <v>0</v>
      </c>
      <c r="AB101" t="s">
        <v>7</v>
      </c>
      <c r="AC101" t="s">
        <v>7</v>
      </c>
      <c r="AD101" t="s">
        <v>45</v>
      </c>
      <c r="AE101" t="s">
        <v>43</v>
      </c>
      <c r="AF101" s="7" t="str">
        <f t="shared" si="25"/>
        <v>N</v>
      </c>
      <c r="AG101">
        <v>39</v>
      </c>
      <c r="AH101">
        <v>0</v>
      </c>
      <c r="AI101">
        <f t="shared" si="22"/>
        <v>39</v>
      </c>
      <c r="AJ101" t="s">
        <v>13</v>
      </c>
      <c r="AK101" s="50" t="s">
        <v>7</v>
      </c>
      <c r="AL101" s="49" t="s">
        <v>1044</v>
      </c>
      <c r="AM101" s="50" t="s">
        <v>7</v>
      </c>
      <c r="AN101" s="52" t="s">
        <v>1091</v>
      </c>
      <c r="AO101">
        <v>800</v>
      </c>
      <c r="AS101" t="s">
        <v>191</v>
      </c>
      <c r="AT101" t="s">
        <v>23</v>
      </c>
      <c r="AU101" t="s">
        <v>23</v>
      </c>
      <c r="AV101" t="s">
        <v>223</v>
      </c>
      <c r="AW101" t="s">
        <v>223</v>
      </c>
      <c r="AX101" t="s">
        <v>223</v>
      </c>
      <c r="AY101" t="s">
        <v>223</v>
      </c>
      <c r="AZ101">
        <v>4</v>
      </c>
      <c r="BA101">
        <v>4</v>
      </c>
      <c r="BB101">
        <v>4</v>
      </c>
      <c r="BC101">
        <v>4</v>
      </c>
      <c r="BD101">
        <v>0</v>
      </c>
      <c r="BE101">
        <v>0</v>
      </c>
      <c r="BF101">
        <v>0</v>
      </c>
      <c r="BG101">
        <v>0</v>
      </c>
      <c r="BH101" s="25">
        <v>100</v>
      </c>
      <c r="BI101" s="25">
        <v>79</v>
      </c>
      <c r="BJ101" s="25">
        <v>76</v>
      </c>
      <c r="BK101" s="25">
        <v>75</v>
      </c>
      <c r="BL101" s="25">
        <v>73</v>
      </c>
      <c r="BM101" s="25">
        <v>1</v>
      </c>
      <c r="BN101" s="27">
        <v>1</v>
      </c>
      <c r="BO101" s="27">
        <v>1</v>
      </c>
      <c r="BP101" s="27">
        <v>1</v>
      </c>
      <c r="BQ101" s="27">
        <v>1</v>
      </c>
    </row>
    <row r="102" spans="1:80" x14ac:dyDescent="0.3">
      <c r="A102" s="6">
        <v>2471</v>
      </c>
      <c r="B102" t="str">
        <f t="shared" si="5"/>
        <v>Saturday</v>
      </c>
      <c r="C102">
        <f t="shared" si="6"/>
        <v>5</v>
      </c>
      <c r="D102" s="9">
        <f t="shared" si="23"/>
        <v>5</v>
      </c>
      <c r="E102" s="17">
        <f t="shared" si="24"/>
        <v>5</v>
      </c>
      <c r="F102" s="9">
        <f t="shared" si="9"/>
        <v>5</v>
      </c>
      <c r="G102" s="9">
        <f t="shared" si="17"/>
        <v>5</v>
      </c>
      <c r="H102" s="1">
        <v>0.65625</v>
      </c>
      <c r="I102" s="58">
        <v>20</v>
      </c>
      <c r="J102" s="58">
        <v>20</v>
      </c>
      <c r="K102" s="59" t="s">
        <v>7</v>
      </c>
      <c r="L102" s="59" t="s">
        <v>7</v>
      </c>
      <c r="M102">
        <v>40</v>
      </c>
      <c r="N102" t="s">
        <v>19</v>
      </c>
      <c r="O102" t="s">
        <v>956</v>
      </c>
      <c r="P102" s="7" t="s">
        <v>38</v>
      </c>
      <c r="Q102" t="s">
        <v>181</v>
      </c>
      <c r="R102" t="s">
        <v>183</v>
      </c>
      <c r="S102" t="s">
        <v>19</v>
      </c>
      <c r="T102" s="25" t="s">
        <v>1002</v>
      </c>
      <c r="U102" t="s">
        <v>23</v>
      </c>
      <c r="V102">
        <v>2</v>
      </c>
      <c r="W102">
        <v>0</v>
      </c>
      <c r="X102">
        <v>0</v>
      </c>
      <c r="Y102">
        <v>7</v>
      </c>
      <c r="Z102">
        <v>2</v>
      </c>
      <c r="AA102">
        <v>2</v>
      </c>
      <c r="AB102" t="s">
        <v>7</v>
      </c>
      <c r="AC102" t="s">
        <v>7</v>
      </c>
      <c r="AD102" t="s">
        <v>182</v>
      </c>
      <c r="AE102" t="s">
        <v>183</v>
      </c>
      <c r="AF102" s="7" t="str">
        <f t="shared" si="25"/>
        <v>N</v>
      </c>
      <c r="AG102">
        <v>0</v>
      </c>
      <c r="AH102">
        <v>0</v>
      </c>
      <c r="AI102">
        <f t="shared" si="22"/>
        <v>0</v>
      </c>
      <c r="AJ102" t="s">
        <v>91</v>
      </c>
      <c r="AK102" s="50" t="s">
        <v>7</v>
      </c>
      <c r="AL102" s="49" t="s">
        <v>253</v>
      </c>
      <c r="AM102" s="50" t="s">
        <v>7</v>
      </c>
      <c r="AN102" s="52" t="s">
        <v>1034</v>
      </c>
      <c r="AT102" t="s">
        <v>23</v>
      </c>
      <c r="AU102" t="s">
        <v>23</v>
      </c>
      <c r="AV102" t="s">
        <v>224</v>
      </c>
      <c r="AW102" t="s">
        <v>224</v>
      </c>
      <c r="AX102" t="s">
        <v>224</v>
      </c>
      <c r="AY102" t="s">
        <v>224</v>
      </c>
      <c r="AZ102">
        <v>5</v>
      </c>
      <c r="BA102">
        <v>5</v>
      </c>
      <c r="BB102">
        <v>5</v>
      </c>
      <c r="BC102">
        <v>5</v>
      </c>
      <c r="BD102">
        <v>0</v>
      </c>
      <c r="BE102">
        <v>0</v>
      </c>
      <c r="BF102">
        <v>0</v>
      </c>
      <c r="BG102">
        <v>0</v>
      </c>
      <c r="BH102" s="25">
        <v>101</v>
      </c>
      <c r="BI102" s="25">
        <v>80</v>
      </c>
      <c r="BJ102" s="25">
        <v>77</v>
      </c>
      <c r="BK102" s="25">
        <v>76</v>
      </c>
      <c r="BL102" s="25">
        <v>74</v>
      </c>
      <c r="BM102" s="25">
        <v>2</v>
      </c>
      <c r="BN102" s="27">
        <v>2</v>
      </c>
      <c r="BO102" s="27">
        <v>2</v>
      </c>
      <c r="BP102" s="27">
        <v>2</v>
      </c>
      <c r="BQ102" s="27">
        <v>2</v>
      </c>
    </row>
    <row r="103" spans="1:80" x14ac:dyDescent="0.3">
      <c r="A103" s="6">
        <v>2476</v>
      </c>
      <c r="B103" t="str">
        <f t="shared" si="5"/>
        <v>Thursday</v>
      </c>
      <c r="C103">
        <f t="shared" ref="C103:C108" si="26">A103-A102</f>
        <v>5</v>
      </c>
      <c r="D103" s="9">
        <f t="shared" ref="D103:D108" si="27">A103-A102</f>
        <v>5</v>
      </c>
      <c r="E103" s="17">
        <f t="shared" si="24"/>
        <v>5</v>
      </c>
      <c r="F103" s="9">
        <f t="shared" si="9"/>
        <v>5</v>
      </c>
      <c r="G103" s="9">
        <f t="shared" si="17"/>
        <v>5</v>
      </c>
      <c r="H103" s="1">
        <v>0.64583333333333337</v>
      </c>
      <c r="I103" s="66">
        <v>20</v>
      </c>
      <c r="J103" s="66">
        <v>15</v>
      </c>
      <c r="K103" s="59" t="s">
        <v>7</v>
      </c>
      <c r="L103" s="59" t="s">
        <v>7</v>
      </c>
      <c r="M103">
        <v>35</v>
      </c>
      <c r="N103" t="s">
        <v>19</v>
      </c>
      <c r="O103" t="s">
        <v>956</v>
      </c>
      <c r="P103" s="7" t="s">
        <v>37</v>
      </c>
      <c r="Q103" t="s">
        <v>86</v>
      </c>
      <c r="R103" t="s">
        <v>87</v>
      </c>
      <c r="S103" t="s">
        <v>736</v>
      </c>
      <c r="T103" s="25" t="s">
        <v>1001</v>
      </c>
      <c r="U103" t="s">
        <v>23</v>
      </c>
      <c r="V103">
        <v>0</v>
      </c>
      <c r="W103">
        <v>3</v>
      </c>
      <c r="X103">
        <v>0</v>
      </c>
      <c r="Y103">
        <v>6</v>
      </c>
      <c r="Z103">
        <v>5</v>
      </c>
      <c r="AA103">
        <v>1</v>
      </c>
      <c r="AB103" t="s">
        <v>7</v>
      </c>
      <c r="AC103" t="s">
        <v>7</v>
      </c>
      <c r="AD103" t="s">
        <v>250</v>
      </c>
      <c r="AE103" t="s">
        <v>43</v>
      </c>
      <c r="AF103" s="7" t="str">
        <f t="shared" si="25"/>
        <v>N</v>
      </c>
      <c r="AG103">
        <v>0</v>
      </c>
      <c r="AH103">
        <v>0</v>
      </c>
      <c r="AI103">
        <f t="shared" si="22"/>
        <v>0</v>
      </c>
      <c r="AJ103" t="s">
        <v>91</v>
      </c>
      <c r="AK103" s="50" t="s">
        <v>7</v>
      </c>
      <c r="AL103" s="49" t="s">
        <v>253</v>
      </c>
      <c r="AM103" s="50" t="s">
        <v>7</v>
      </c>
      <c r="AN103" s="52" t="s">
        <v>1034</v>
      </c>
      <c r="AO103">
        <v>400</v>
      </c>
      <c r="AS103" t="s">
        <v>251</v>
      </c>
      <c r="AT103" t="s">
        <v>23</v>
      </c>
      <c r="AU103" t="s">
        <v>23</v>
      </c>
      <c r="AV103" t="s">
        <v>237</v>
      </c>
      <c r="AW103" t="s">
        <v>237</v>
      </c>
      <c r="AX103" t="s">
        <v>237</v>
      </c>
      <c r="AY103" t="s">
        <v>237</v>
      </c>
      <c r="AZ103">
        <v>6</v>
      </c>
      <c r="BA103">
        <v>6</v>
      </c>
      <c r="BB103">
        <v>6</v>
      </c>
      <c r="BC103">
        <v>6</v>
      </c>
      <c r="BD103">
        <v>1</v>
      </c>
      <c r="BE103">
        <v>1</v>
      </c>
      <c r="BF103">
        <v>1</v>
      </c>
      <c r="BG103">
        <v>1</v>
      </c>
      <c r="BH103" s="25">
        <v>102</v>
      </c>
      <c r="BI103" s="25">
        <v>81</v>
      </c>
      <c r="BJ103" s="25">
        <v>78</v>
      </c>
      <c r="BK103" s="25">
        <v>77</v>
      </c>
      <c r="BL103" s="25">
        <v>75</v>
      </c>
      <c r="BM103" s="25">
        <v>3</v>
      </c>
      <c r="BN103" s="27">
        <v>3</v>
      </c>
      <c r="BO103" s="27">
        <v>3</v>
      </c>
      <c r="BP103" s="27">
        <v>3</v>
      </c>
      <c r="BQ103" s="27">
        <v>3</v>
      </c>
    </row>
    <row r="104" spans="1:80" x14ac:dyDescent="0.3">
      <c r="A104" s="6">
        <v>2478</v>
      </c>
      <c r="B104" t="str">
        <f t="shared" si="5"/>
        <v>Saturday</v>
      </c>
      <c r="C104">
        <f t="shared" si="26"/>
        <v>2</v>
      </c>
      <c r="D104" s="9">
        <f t="shared" si="27"/>
        <v>2</v>
      </c>
      <c r="E104" s="17">
        <f t="shared" si="24"/>
        <v>2</v>
      </c>
      <c r="F104" s="9">
        <f t="shared" si="9"/>
        <v>2</v>
      </c>
      <c r="G104" s="9">
        <f t="shared" si="17"/>
        <v>2</v>
      </c>
      <c r="I104" s="60">
        <v>20</v>
      </c>
      <c r="J104" s="60">
        <v>20</v>
      </c>
      <c r="K104" s="59" t="s">
        <v>7</v>
      </c>
      <c r="L104" s="59" t="s">
        <v>7</v>
      </c>
      <c r="M104">
        <v>40</v>
      </c>
      <c r="N104" t="s">
        <v>19</v>
      </c>
      <c r="O104" t="s">
        <v>956</v>
      </c>
      <c r="P104" s="7" t="s">
        <v>38</v>
      </c>
      <c r="Q104" t="s">
        <v>93</v>
      </c>
      <c r="R104" t="s">
        <v>94</v>
      </c>
      <c r="S104" t="s">
        <v>19</v>
      </c>
      <c r="T104" s="25" t="s">
        <v>1000</v>
      </c>
      <c r="U104" t="s">
        <v>23</v>
      </c>
      <c r="V104">
        <v>1</v>
      </c>
      <c r="W104">
        <v>0</v>
      </c>
      <c r="X104">
        <v>0</v>
      </c>
      <c r="Y104">
        <v>4</v>
      </c>
      <c r="Z104">
        <v>4</v>
      </c>
      <c r="AA104">
        <v>0</v>
      </c>
      <c r="AB104" t="s">
        <v>7</v>
      </c>
      <c r="AC104" t="s">
        <v>7</v>
      </c>
      <c r="AD104" t="s">
        <v>167</v>
      </c>
      <c r="AE104" t="s">
        <v>94</v>
      </c>
      <c r="AF104" s="7" t="str">
        <f t="shared" si="25"/>
        <v>N</v>
      </c>
      <c r="AG104">
        <v>17</v>
      </c>
      <c r="AH104">
        <v>0</v>
      </c>
      <c r="AI104">
        <f t="shared" si="22"/>
        <v>17</v>
      </c>
      <c r="AJ104" t="s">
        <v>13</v>
      </c>
      <c r="AK104" s="50" t="s">
        <v>7</v>
      </c>
      <c r="AL104" s="49" t="s">
        <v>1020</v>
      </c>
      <c r="AM104" s="50" t="s">
        <v>7</v>
      </c>
      <c r="AN104" s="52" t="s">
        <v>1092</v>
      </c>
      <c r="AT104" t="s">
        <v>23</v>
      </c>
      <c r="AU104" t="s">
        <v>23</v>
      </c>
      <c r="AV104" t="s">
        <v>247</v>
      </c>
      <c r="AW104" t="s">
        <v>247</v>
      </c>
      <c r="AX104" t="s">
        <v>247</v>
      </c>
      <c r="AY104" t="s">
        <v>247</v>
      </c>
      <c r="AZ104">
        <v>7</v>
      </c>
      <c r="BA104">
        <v>7</v>
      </c>
      <c r="BB104">
        <v>7</v>
      </c>
      <c r="BC104">
        <v>7</v>
      </c>
      <c r="BD104">
        <v>2</v>
      </c>
      <c r="BE104">
        <v>2</v>
      </c>
      <c r="BF104">
        <v>2</v>
      </c>
      <c r="BG104">
        <v>2</v>
      </c>
      <c r="BH104" s="25">
        <v>103</v>
      </c>
      <c r="BI104" s="25">
        <v>82</v>
      </c>
      <c r="BJ104" s="25">
        <v>79</v>
      </c>
      <c r="BK104" s="25">
        <v>78</v>
      </c>
      <c r="BL104" s="25">
        <v>76</v>
      </c>
      <c r="BM104" s="25">
        <v>4</v>
      </c>
      <c r="BN104" s="27">
        <v>4</v>
      </c>
      <c r="BO104" s="27">
        <v>4</v>
      </c>
      <c r="BP104" s="27">
        <v>4</v>
      </c>
      <c r="BQ104" s="27">
        <v>4</v>
      </c>
    </row>
    <row r="105" spans="1:80" x14ac:dyDescent="0.3">
      <c r="A105" s="6">
        <v>2480</v>
      </c>
      <c r="B105" t="str">
        <f t="shared" si="5"/>
        <v>Monday</v>
      </c>
      <c r="C105">
        <f t="shared" si="26"/>
        <v>2</v>
      </c>
      <c r="D105" s="9">
        <f t="shared" si="27"/>
        <v>2</v>
      </c>
      <c r="E105" s="17">
        <f t="shared" ref="E105" si="28">A105-A104</f>
        <v>2</v>
      </c>
      <c r="F105" s="9">
        <f t="shared" ref="F105" si="29">A105-A104</f>
        <v>2</v>
      </c>
      <c r="G105" s="9">
        <f t="shared" ref="G105" si="30">A105-A104</f>
        <v>2</v>
      </c>
      <c r="H105" s="1">
        <v>0.65625</v>
      </c>
      <c r="I105" s="60">
        <v>20</v>
      </c>
      <c r="J105" s="60">
        <v>20</v>
      </c>
      <c r="K105" s="59" t="s">
        <v>7</v>
      </c>
      <c r="L105" s="59" t="s">
        <v>7</v>
      </c>
      <c r="M105">
        <v>40</v>
      </c>
      <c r="N105" t="s">
        <v>19</v>
      </c>
      <c r="O105" t="s">
        <v>956</v>
      </c>
      <c r="P105" s="7" t="s">
        <v>38</v>
      </c>
      <c r="Q105" t="s">
        <v>175</v>
      </c>
      <c r="R105" t="s">
        <v>94</v>
      </c>
      <c r="S105" t="s">
        <v>19</v>
      </c>
      <c r="T105" s="38" t="s">
        <v>961</v>
      </c>
      <c r="U105" t="s">
        <v>23</v>
      </c>
      <c r="V105">
        <v>2</v>
      </c>
      <c r="W105">
        <v>0</v>
      </c>
      <c r="X105">
        <v>0</v>
      </c>
      <c r="Y105">
        <v>4</v>
      </c>
      <c r="Z105">
        <v>1</v>
      </c>
      <c r="AA105">
        <v>1</v>
      </c>
      <c r="AB105" t="s">
        <v>7</v>
      </c>
      <c r="AC105" t="s">
        <v>7</v>
      </c>
      <c r="AD105" t="s">
        <v>870</v>
      </c>
      <c r="AE105" t="s">
        <v>94</v>
      </c>
      <c r="AF105" s="7" t="str">
        <f t="shared" si="25"/>
        <v>N</v>
      </c>
      <c r="AG105">
        <v>4</v>
      </c>
      <c r="AH105">
        <v>4</v>
      </c>
      <c r="AI105">
        <f t="shared" si="22"/>
        <v>0</v>
      </c>
      <c r="AJ105" t="s">
        <v>91</v>
      </c>
      <c r="AK105" s="50" t="s">
        <v>7</v>
      </c>
      <c r="AL105" s="49" t="s">
        <v>1014</v>
      </c>
      <c r="AM105" s="50" t="s">
        <v>7</v>
      </c>
      <c r="AN105" s="52" t="s">
        <v>1093</v>
      </c>
      <c r="AT105" t="s">
        <v>23</v>
      </c>
      <c r="AU105" t="s">
        <v>23</v>
      </c>
      <c r="AV105" t="s">
        <v>221</v>
      </c>
      <c r="AW105" t="s">
        <v>221</v>
      </c>
      <c r="AX105" t="s">
        <v>221</v>
      </c>
      <c r="AY105" t="s">
        <v>221</v>
      </c>
      <c r="AZ105">
        <v>8</v>
      </c>
      <c r="BA105">
        <v>8</v>
      </c>
      <c r="BB105">
        <v>8</v>
      </c>
      <c r="BC105">
        <v>8</v>
      </c>
      <c r="BD105">
        <v>0</v>
      </c>
      <c r="BE105">
        <v>0</v>
      </c>
      <c r="BF105">
        <v>0</v>
      </c>
      <c r="BG105">
        <v>0</v>
      </c>
      <c r="BH105" s="25">
        <v>104</v>
      </c>
      <c r="BI105" s="25">
        <v>83</v>
      </c>
      <c r="BJ105" s="25">
        <v>80</v>
      </c>
      <c r="BK105" s="25">
        <v>79</v>
      </c>
      <c r="BL105" s="25">
        <v>77</v>
      </c>
      <c r="BM105" s="25">
        <v>5</v>
      </c>
      <c r="BN105" s="27">
        <v>5</v>
      </c>
      <c r="BO105" s="27">
        <v>5</v>
      </c>
      <c r="BP105" s="27">
        <v>5</v>
      </c>
      <c r="BQ105" s="27">
        <v>5</v>
      </c>
    </row>
    <row r="106" spans="1:80" x14ac:dyDescent="0.3">
      <c r="A106" s="6">
        <v>2483</v>
      </c>
      <c r="B106" t="str">
        <f t="shared" si="5"/>
        <v>Thursday</v>
      </c>
      <c r="C106">
        <f t="shared" si="26"/>
        <v>3</v>
      </c>
      <c r="D106" s="9">
        <f t="shared" si="27"/>
        <v>3</v>
      </c>
      <c r="E106" s="17">
        <f t="shared" ref="E106" si="31">A106-A105</f>
        <v>3</v>
      </c>
      <c r="F106" s="9">
        <f t="shared" ref="F106" si="32">A106-A105</f>
        <v>3</v>
      </c>
      <c r="G106" s="9">
        <f t="shared" ref="G106" si="33">A106-A105</f>
        <v>3</v>
      </c>
      <c r="H106" s="1">
        <v>0.6875</v>
      </c>
      <c r="I106" s="60">
        <v>20</v>
      </c>
      <c r="J106" s="60">
        <v>20</v>
      </c>
      <c r="K106" s="59" t="s">
        <v>7</v>
      </c>
      <c r="L106" s="59" t="s">
        <v>7</v>
      </c>
      <c r="M106">
        <v>40</v>
      </c>
      <c r="N106" t="s">
        <v>19</v>
      </c>
      <c r="O106" t="s">
        <v>956</v>
      </c>
      <c r="P106" s="7" t="s">
        <v>37</v>
      </c>
      <c r="Q106" t="s">
        <v>732</v>
      </c>
      <c r="R106" t="s">
        <v>871</v>
      </c>
      <c r="S106" t="s">
        <v>736</v>
      </c>
      <c r="T106" s="25" t="s">
        <v>1005</v>
      </c>
      <c r="U106" t="s">
        <v>23</v>
      </c>
      <c r="V106">
        <v>1</v>
      </c>
      <c r="W106">
        <v>2</v>
      </c>
      <c r="X106">
        <v>0</v>
      </c>
      <c r="Y106">
        <v>2</v>
      </c>
      <c r="Z106">
        <v>6</v>
      </c>
      <c r="AA106">
        <v>0</v>
      </c>
      <c r="AB106" t="s">
        <v>7</v>
      </c>
      <c r="AC106" t="s">
        <v>7</v>
      </c>
      <c r="AD106" t="s">
        <v>250</v>
      </c>
      <c r="AE106" t="s">
        <v>43</v>
      </c>
      <c r="AF106" s="7" t="str">
        <f t="shared" si="25"/>
        <v>N</v>
      </c>
      <c r="AG106">
        <v>44</v>
      </c>
      <c r="AH106">
        <v>0</v>
      </c>
      <c r="AI106">
        <f t="shared" si="22"/>
        <v>44</v>
      </c>
      <c r="AJ106" t="s">
        <v>13</v>
      </c>
      <c r="AK106" s="50" t="s">
        <v>7</v>
      </c>
      <c r="AL106" s="49" t="s">
        <v>1043</v>
      </c>
      <c r="AM106" s="50" t="s">
        <v>7</v>
      </c>
      <c r="AN106" s="51" t="s">
        <v>1059</v>
      </c>
      <c r="AR106" t="s">
        <v>26</v>
      </c>
      <c r="AT106" t="s">
        <v>23</v>
      </c>
      <c r="AU106" t="s">
        <v>23</v>
      </c>
      <c r="AV106" t="s">
        <v>237</v>
      </c>
      <c r="AW106" t="s">
        <v>237</v>
      </c>
      <c r="AX106" t="s">
        <v>237</v>
      </c>
      <c r="AY106" t="s">
        <v>237</v>
      </c>
      <c r="AZ106">
        <v>9</v>
      </c>
      <c r="BA106">
        <v>9</v>
      </c>
      <c r="BB106">
        <v>9</v>
      </c>
      <c r="BC106">
        <v>9</v>
      </c>
      <c r="BD106">
        <v>1</v>
      </c>
      <c r="BE106">
        <v>1</v>
      </c>
      <c r="BF106">
        <v>1</v>
      </c>
      <c r="BG106">
        <v>1</v>
      </c>
      <c r="BH106" s="25">
        <v>105</v>
      </c>
      <c r="BI106" s="25">
        <v>84</v>
      </c>
      <c r="BJ106" s="25">
        <v>81</v>
      </c>
      <c r="BK106" s="25">
        <v>80</v>
      </c>
      <c r="BL106" s="25">
        <v>78</v>
      </c>
      <c r="BM106" s="25">
        <v>6</v>
      </c>
      <c r="BN106" s="27">
        <v>6</v>
      </c>
      <c r="BO106" s="27">
        <v>6</v>
      </c>
      <c r="BP106" s="27">
        <v>6</v>
      </c>
      <c r="BQ106" s="27">
        <v>6</v>
      </c>
    </row>
    <row r="107" spans="1:80" x14ac:dyDescent="0.3">
      <c r="A107" s="6">
        <v>2490</v>
      </c>
      <c r="B107" t="str">
        <f t="shared" si="5"/>
        <v>Thursday</v>
      </c>
      <c r="C107">
        <f t="shared" si="26"/>
        <v>7</v>
      </c>
      <c r="D107" s="9">
        <f t="shared" si="27"/>
        <v>7</v>
      </c>
      <c r="E107" s="17">
        <f t="shared" ref="E107" si="34">A107-A106</f>
        <v>7</v>
      </c>
      <c r="F107" s="9">
        <f t="shared" ref="F107" si="35">A107-A106</f>
        <v>7</v>
      </c>
      <c r="G107" s="9">
        <f t="shared" ref="G107" si="36">A107-A106</f>
        <v>7</v>
      </c>
      <c r="H107" s="1">
        <v>0.45833333333333331</v>
      </c>
      <c r="I107" s="65">
        <v>25</v>
      </c>
      <c r="J107" s="65">
        <v>20</v>
      </c>
      <c r="K107" s="59" t="s">
        <v>7</v>
      </c>
      <c r="L107" s="59" t="s">
        <v>7</v>
      </c>
      <c r="M107">
        <v>45</v>
      </c>
      <c r="N107" t="s">
        <v>19</v>
      </c>
      <c r="O107" t="s">
        <v>956</v>
      </c>
      <c r="P107" s="7" t="s">
        <v>28</v>
      </c>
      <c r="Q107" t="s">
        <v>133</v>
      </c>
      <c r="R107" t="s">
        <v>134</v>
      </c>
      <c r="S107" t="s">
        <v>140</v>
      </c>
      <c r="T107" s="25" t="s">
        <v>993</v>
      </c>
      <c r="U107" t="s">
        <v>23</v>
      </c>
      <c r="V107">
        <v>1</v>
      </c>
      <c r="W107">
        <v>0</v>
      </c>
      <c r="X107">
        <v>1</v>
      </c>
      <c r="Y107">
        <v>4</v>
      </c>
      <c r="Z107">
        <v>0</v>
      </c>
      <c r="AA107">
        <v>3</v>
      </c>
      <c r="AB107" t="s">
        <v>7</v>
      </c>
      <c r="AC107" t="s">
        <v>7</v>
      </c>
      <c r="AD107" t="s">
        <v>171</v>
      </c>
      <c r="AE107" t="s">
        <v>148</v>
      </c>
      <c r="AF107" s="7" t="str">
        <f t="shared" si="25"/>
        <v>N</v>
      </c>
      <c r="AG107">
        <v>0</v>
      </c>
      <c r="AH107">
        <v>0</v>
      </c>
      <c r="AI107">
        <f t="shared" si="22"/>
        <v>0</v>
      </c>
      <c r="AJ107" t="s">
        <v>91</v>
      </c>
      <c r="AK107" s="50" t="s">
        <v>7</v>
      </c>
      <c r="AL107" s="49" t="s">
        <v>253</v>
      </c>
      <c r="AM107" s="50" t="s">
        <v>7</v>
      </c>
      <c r="AN107" s="52" t="s">
        <v>1034</v>
      </c>
      <c r="AO107">
        <f>(3000+4000+5000+10000)/4</f>
        <v>5500</v>
      </c>
      <c r="AP107" s="60">
        <v>3000</v>
      </c>
      <c r="AQ107" s="60">
        <v>10000</v>
      </c>
      <c r="AR107" t="s">
        <v>172</v>
      </c>
      <c r="AS107" s="4" t="s">
        <v>891</v>
      </c>
      <c r="AT107" t="s">
        <v>23</v>
      </c>
      <c r="AU107" t="s">
        <v>23</v>
      </c>
      <c r="AV107" t="s">
        <v>221</v>
      </c>
      <c r="AW107" t="s">
        <v>221</v>
      </c>
      <c r="AX107" t="s">
        <v>221</v>
      </c>
      <c r="AY107" t="s">
        <v>221</v>
      </c>
      <c r="AZ107">
        <v>10</v>
      </c>
      <c r="BA107">
        <v>10</v>
      </c>
      <c r="BB107">
        <v>10</v>
      </c>
      <c r="BC107">
        <v>10</v>
      </c>
      <c r="BD107">
        <v>0</v>
      </c>
      <c r="BE107">
        <v>0</v>
      </c>
      <c r="BF107">
        <v>0</v>
      </c>
      <c r="BG107">
        <v>0</v>
      </c>
      <c r="BH107" s="25">
        <v>106</v>
      </c>
      <c r="BI107" s="25">
        <v>85</v>
      </c>
      <c r="BJ107" s="25">
        <v>82</v>
      </c>
      <c r="BK107" s="25">
        <v>81</v>
      </c>
      <c r="BL107" s="25">
        <v>79</v>
      </c>
      <c r="BM107" s="25">
        <v>7</v>
      </c>
      <c r="BN107" s="27">
        <v>7</v>
      </c>
      <c r="BO107" s="27">
        <v>7</v>
      </c>
      <c r="BP107" s="27">
        <v>7</v>
      </c>
      <c r="BQ107" s="27">
        <v>7</v>
      </c>
    </row>
    <row r="108" spans="1:80" x14ac:dyDescent="0.3">
      <c r="A108" s="6">
        <v>2492</v>
      </c>
      <c r="B108" t="str">
        <f t="shared" ref="B108:B128" si="37">CHOOSE(WEEKDAY(A108),"Sunday","Monday","Tuesday","Wednesday","Thursday","Friday","Saturday")</f>
        <v>Saturday</v>
      </c>
      <c r="C108">
        <f t="shared" si="26"/>
        <v>2</v>
      </c>
      <c r="D108" s="9">
        <f t="shared" si="27"/>
        <v>2</v>
      </c>
      <c r="E108" s="17">
        <f t="shared" ref="E108" si="38">A108-A107</f>
        <v>2</v>
      </c>
      <c r="F108" s="9">
        <f t="shared" ref="F108" si="39">A108-A107</f>
        <v>2</v>
      </c>
      <c r="G108" s="9">
        <f t="shared" ref="G108" si="40">A108-A107</f>
        <v>2</v>
      </c>
      <c r="I108" t="s">
        <v>7</v>
      </c>
      <c r="J108" t="s">
        <v>7</v>
      </c>
      <c r="K108" s="59" t="s">
        <v>7</v>
      </c>
      <c r="L108" s="59" t="s">
        <v>7</v>
      </c>
      <c r="M108" t="s">
        <v>7</v>
      </c>
      <c r="N108" t="s">
        <v>19</v>
      </c>
      <c r="O108" t="s">
        <v>956</v>
      </c>
      <c r="P108" s="7" t="s">
        <v>38</v>
      </c>
      <c r="Q108" t="s">
        <v>151</v>
      </c>
      <c r="R108" t="s">
        <v>152</v>
      </c>
      <c r="S108" t="s">
        <v>140</v>
      </c>
      <c r="T108" s="25" t="s">
        <v>955</v>
      </c>
      <c r="U108" t="s">
        <v>23</v>
      </c>
      <c r="V108">
        <v>0</v>
      </c>
      <c r="W108">
        <v>2</v>
      </c>
      <c r="X108">
        <v>0</v>
      </c>
      <c r="Y108">
        <v>2</v>
      </c>
      <c r="Z108">
        <v>4</v>
      </c>
      <c r="AA108">
        <v>1</v>
      </c>
      <c r="AB108" t="s">
        <v>7</v>
      </c>
      <c r="AC108" t="s">
        <v>7</v>
      </c>
      <c r="AD108" t="s">
        <v>889</v>
      </c>
      <c r="AE108" t="s">
        <v>890</v>
      </c>
      <c r="AF108" s="7" t="str">
        <f t="shared" si="25"/>
        <v>N</v>
      </c>
      <c r="AG108" t="s">
        <v>7</v>
      </c>
      <c r="AH108" t="s">
        <v>7</v>
      </c>
      <c r="AI108" t="s">
        <v>7</v>
      </c>
      <c r="AJ108" t="s">
        <v>7</v>
      </c>
      <c r="AK108" s="50" t="s">
        <v>7</v>
      </c>
      <c r="AL108" s="49" t="s">
        <v>7</v>
      </c>
      <c r="AM108" s="50" t="s">
        <v>7</v>
      </c>
      <c r="AN108" s="52" t="s">
        <v>7</v>
      </c>
      <c r="AO108" t="s">
        <v>7</v>
      </c>
      <c r="AS108" t="s">
        <v>893</v>
      </c>
      <c r="AT108" s="26" t="s">
        <v>28</v>
      </c>
      <c r="AU108" t="s">
        <v>28</v>
      </c>
      <c r="BH108" s="25">
        <v>107</v>
      </c>
      <c r="BM108" s="25">
        <v>8</v>
      </c>
    </row>
    <row r="109" spans="1:80" x14ac:dyDescent="0.3">
      <c r="A109" s="6">
        <v>2506</v>
      </c>
      <c r="B109" t="str">
        <f t="shared" si="37"/>
        <v>Saturday</v>
      </c>
      <c r="C109">
        <f>A109-A108</f>
        <v>14</v>
      </c>
      <c r="D109" s="9">
        <f>A109-A107</f>
        <v>16</v>
      </c>
      <c r="E109" s="17">
        <f>A109-A107</f>
        <v>16</v>
      </c>
      <c r="F109" s="9">
        <f>A109-A107</f>
        <v>16</v>
      </c>
      <c r="G109" s="9">
        <f>A109-A107</f>
        <v>16</v>
      </c>
      <c r="I109" t="s">
        <v>7</v>
      </c>
      <c r="J109" t="s">
        <v>7</v>
      </c>
      <c r="K109" s="59" t="s">
        <v>7</v>
      </c>
      <c r="L109" s="59" t="s">
        <v>7</v>
      </c>
      <c r="M109" t="s">
        <v>7</v>
      </c>
      <c r="N109" t="s">
        <v>19</v>
      </c>
      <c r="O109" t="s">
        <v>956</v>
      </c>
      <c r="P109" s="7" t="s">
        <v>38</v>
      </c>
      <c r="Q109" t="s">
        <v>65</v>
      </c>
      <c r="R109" t="s">
        <v>46</v>
      </c>
      <c r="S109" t="s">
        <v>19</v>
      </c>
      <c r="T109" s="25" t="s">
        <v>954</v>
      </c>
      <c r="U109" t="s">
        <v>23</v>
      </c>
      <c r="V109">
        <v>1</v>
      </c>
      <c r="W109">
        <v>3</v>
      </c>
      <c r="X109">
        <v>2</v>
      </c>
      <c r="Y109">
        <v>1</v>
      </c>
      <c r="Z109">
        <v>4</v>
      </c>
      <c r="AA109">
        <v>2</v>
      </c>
      <c r="AB109" t="s">
        <v>7</v>
      </c>
      <c r="AC109" t="s">
        <v>7</v>
      </c>
      <c r="AD109" t="s">
        <v>929</v>
      </c>
      <c r="AE109" t="s">
        <v>46</v>
      </c>
      <c r="AF109" s="7" t="str">
        <f t="shared" si="25"/>
        <v>N</v>
      </c>
      <c r="AG109" t="s">
        <v>7</v>
      </c>
      <c r="AH109" t="s">
        <v>7</v>
      </c>
      <c r="AI109" t="s">
        <v>7</v>
      </c>
      <c r="AJ109" t="s">
        <v>7</v>
      </c>
      <c r="AK109" s="50" t="s">
        <v>7</v>
      </c>
      <c r="AL109" s="49" t="s">
        <v>7</v>
      </c>
      <c r="AM109" s="50" t="s">
        <v>7</v>
      </c>
      <c r="AN109" s="52" t="s">
        <v>7</v>
      </c>
      <c r="AO109" t="s">
        <v>7</v>
      </c>
      <c r="AS109" t="s">
        <v>893</v>
      </c>
      <c r="AT109" s="26" t="s">
        <v>28</v>
      </c>
      <c r="AU109" t="s">
        <v>28</v>
      </c>
      <c r="BH109" s="25">
        <v>108</v>
      </c>
      <c r="BM109" s="25">
        <v>9</v>
      </c>
      <c r="BN109" s="28"/>
      <c r="BO109" s="28"/>
      <c r="BP109" s="28"/>
      <c r="BQ109" s="28"/>
    </row>
    <row r="110" spans="1:80" x14ac:dyDescent="0.3">
      <c r="A110" s="6">
        <v>2520</v>
      </c>
      <c r="B110" t="str">
        <f t="shared" si="37"/>
        <v>Saturday</v>
      </c>
      <c r="C110">
        <f>A110-A109</f>
        <v>14</v>
      </c>
      <c r="D110" s="9">
        <f>A110-A107</f>
        <v>30</v>
      </c>
      <c r="E110" s="17">
        <f>A110-A107</f>
        <v>30</v>
      </c>
      <c r="F110" s="17">
        <f>A110-A107</f>
        <v>30</v>
      </c>
      <c r="G110" s="9">
        <f>A110-A107</f>
        <v>30</v>
      </c>
      <c r="I110" t="s">
        <v>7</v>
      </c>
      <c r="J110" t="s">
        <v>7</v>
      </c>
      <c r="K110" s="59" t="s">
        <v>7</v>
      </c>
      <c r="L110" s="59" t="s">
        <v>7</v>
      </c>
      <c r="M110" t="s">
        <v>7</v>
      </c>
      <c r="N110" t="s">
        <v>19</v>
      </c>
      <c r="O110" t="s">
        <v>956</v>
      </c>
      <c r="P110" s="7" t="s">
        <v>37</v>
      </c>
      <c r="Q110" t="s">
        <v>394</v>
      </c>
      <c r="R110" t="s">
        <v>905</v>
      </c>
      <c r="S110" t="s">
        <v>19</v>
      </c>
      <c r="T110" s="25" t="s">
        <v>1006</v>
      </c>
      <c r="U110" t="s">
        <v>23</v>
      </c>
      <c r="V110">
        <v>0</v>
      </c>
      <c r="W110">
        <v>1</v>
      </c>
      <c r="X110">
        <v>4</v>
      </c>
      <c r="Y110">
        <v>0</v>
      </c>
      <c r="Z110">
        <v>1</v>
      </c>
      <c r="AA110">
        <v>4</v>
      </c>
      <c r="AB110" t="s">
        <v>7</v>
      </c>
      <c r="AC110" t="s">
        <v>7</v>
      </c>
      <c r="AD110" t="s">
        <v>250</v>
      </c>
      <c r="AE110" t="s">
        <v>43</v>
      </c>
      <c r="AF110" s="7" t="str">
        <f t="shared" si="25"/>
        <v>N</v>
      </c>
      <c r="AG110" t="s">
        <v>7</v>
      </c>
      <c r="AH110" t="s">
        <v>7</v>
      </c>
      <c r="AI110" t="s">
        <v>7</v>
      </c>
      <c r="AJ110" t="s">
        <v>7</v>
      </c>
      <c r="AK110" s="50" t="s">
        <v>7</v>
      </c>
      <c r="AL110" s="49" t="s">
        <v>7</v>
      </c>
      <c r="AM110" s="50" t="s">
        <v>7</v>
      </c>
      <c r="AN110" s="52" t="s">
        <v>7</v>
      </c>
      <c r="AO110" t="s">
        <v>7</v>
      </c>
      <c r="AS110" t="s">
        <v>914</v>
      </c>
      <c r="AT110" s="26" t="s">
        <v>28</v>
      </c>
      <c r="AU110" t="s">
        <v>28</v>
      </c>
      <c r="BH110" s="25">
        <v>109</v>
      </c>
      <c r="BM110" s="25">
        <v>10</v>
      </c>
      <c r="BN110" s="28"/>
      <c r="BO110" s="28"/>
      <c r="BP110" s="28"/>
      <c r="BQ110" s="28"/>
    </row>
    <row r="111" spans="1:80" x14ac:dyDescent="0.3">
      <c r="A111" s="6">
        <v>2525</v>
      </c>
      <c r="B111" t="str">
        <f t="shared" si="37"/>
        <v>Thursday</v>
      </c>
      <c r="C111">
        <f>A111-A110</f>
        <v>5</v>
      </c>
      <c r="D111" s="9">
        <f>A111-A107</f>
        <v>35</v>
      </c>
      <c r="E111" s="17">
        <f>A111-A107</f>
        <v>35</v>
      </c>
      <c r="F111" s="9">
        <f>A111-A107</f>
        <v>35</v>
      </c>
      <c r="G111" s="9">
        <f>A111-A107</f>
        <v>35</v>
      </c>
      <c r="H111" s="1">
        <v>0.625</v>
      </c>
      <c r="I111" s="58">
        <v>27.5</v>
      </c>
      <c r="J111" s="58">
        <v>27.5</v>
      </c>
      <c r="K111" s="59" t="s">
        <v>7</v>
      </c>
      <c r="L111" s="59" t="s">
        <v>7</v>
      </c>
      <c r="M111">
        <v>55</v>
      </c>
      <c r="N111" t="s">
        <v>19</v>
      </c>
      <c r="O111" t="s">
        <v>951</v>
      </c>
      <c r="P111" s="7" t="s">
        <v>38</v>
      </c>
      <c r="Q111" t="s">
        <v>900</v>
      </c>
      <c r="R111" t="s">
        <v>145</v>
      </c>
      <c r="S111" t="s">
        <v>19</v>
      </c>
      <c r="T111" s="25" t="s">
        <v>1007</v>
      </c>
      <c r="U111" t="s">
        <v>23</v>
      </c>
      <c r="V111">
        <v>4</v>
      </c>
      <c r="W111">
        <v>2</v>
      </c>
      <c r="X111">
        <v>2</v>
      </c>
      <c r="Y111">
        <v>5</v>
      </c>
      <c r="Z111">
        <v>2</v>
      </c>
      <c r="AA111">
        <v>2</v>
      </c>
      <c r="AB111" t="s">
        <v>7</v>
      </c>
      <c r="AC111" t="s">
        <v>7</v>
      </c>
      <c r="AD111" t="s">
        <v>904</v>
      </c>
      <c r="AE111" t="s">
        <v>87</v>
      </c>
      <c r="AF111" s="7" t="str">
        <f t="shared" si="25"/>
        <v>N</v>
      </c>
      <c r="AG111">
        <v>0</v>
      </c>
      <c r="AH111">
        <v>6</v>
      </c>
      <c r="AI111">
        <f t="shared" si="22"/>
        <v>-6</v>
      </c>
      <c r="AJ111" t="s">
        <v>47</v>
      </c>
      <c r="AK111" s="50" t="s">
        <v>7</v>
      </c>
      <c r="AL111" s="49" t="s">
        <v>253</v>
      </c>
      <c r="AM111" s="50" t="s">
        <v>7</v>
      </c>
      <c r="AN111" s="52" t="s">
        <v>1046</v>
      </c>
      <c r="AO111">
        <v>10000</v>
      </c>
      <c r="AR111" t="s">
        <v>59</v>
      </c>
      <c r="AT111" t="s">
        <v>23</v>
      </c>
      <c r="AU111" t="s">
        <v>23</v>
      </c>
      <c r="AV111" t="s">
        <v>237</v>
      </c>
      <c r="AW111" t="s">
        <v>237</v>
      </c>
      <c r="AX111" t="s">
        <v>237</v>
      </c>
      <c r="AY111" t="s">
        <v>237</v>
      </c>
      <c r="AZ111">
        <v>11</v>
      </c>
      <c r="BA111">
        <v>11</v>
      </c>
      <c r="BB111">
        <v>11</v>
      </c>
      <c r="BC111">
        <v>11</v>
      </c>
      <c r="BD111">
        <v>1</v>
      </c>
      <c r="BE111">
        <v>1</v>
      </c>
      <c r="BF111">
        <v>1</v>
      </c>
      <c r="BG111">
        <v>1</v>
      </c>
      <c r="BH111" s="25">
        <v>110</v>
      </c>
      <c r="BI111" s="25">
        <v>86</v>
      </c>
      <c r="BJ111" s="25">
        <v>83</v>
      </c>
      <c r="BK111" s="25">
        <v>82</v>
      </c>
      <c r="BL111" s="25">
        <v>80</v>
      </c>
      <c r="BM111" s="25">
        <v>11</v>
      </c>
      <c r="BN111" s="27">
        <v>8</v>
      </c>
      <c r="BO111" s="27">
        <v>8</v>
      </c>
      <c r="BP111" s="27">
        <v>8</v>
      </c>
      <c r="BQ111" s="27">
        <v>8</v>
      </c>
      <c r="BR111" s="27" t="s">
        <v>23</v>
      </c>
      <c r="BS111" s="27" t="s">
        <v>23</v>
      </c>
      <c r="BT111" s="71" t="s">
        <v>23</v>
      </c>
      <c r="BU111" s="27" t="s">
        <v>23</v>
      </c>
      <c r="BY111" s="71" t="s">
        <v>23</v>
      </c>
      <c r="BZ111" s="7" t="s">
        <v>23</v>
      </c>
      <c r="CA111" s="7" t="s">
        <v>23</v>
      </c>
      <c r="CB111" s="7" t="s">
        <v>23</v>
      </c>
    </row>
    <row r="112" spans="1:80" x14ac:dyDescent="0.3">
      <c r="A112" s="6">
        <v>2830</v>
      </c>
      <c r="B112" t="str">
        <f t="shared" si="37"/>
        <v>Monday</v>
      </c>
      <c r="C112">
        <f>A112-A111</f>
        <v>305</v>
      </c>
      <c r="D112" s="9">
        <f>A112-A111</f>
        <v>305</v>
      </c>
      <c r="E112" s="17">
        <f>A112-A111</f>
        <v>305</v>
      </c>
      <c r="F112" s="9">
        <f>A112-A111</f>
        <v>305</v>
      </c>
      <c r="G112" s="9">
        <f>A112-A111</f>
        <v>305</v>
      </c>
      <c r="H112" s="43">
        <v>0.65625</v>
      </c>
      <c r="I112" s="65">
        <v>20</v>
      </c>
      <c r="J112" s="65">
        <v>15</v>
      </c>
      <c r="K112" s="59" t="s">
        <v>7</v>
      </c>
      <c r="L112" s="59" t="s">
        <v>7</v>
      </c>
      <c r="M112" s="25">
        <v>35</v>
      </c>
      <c r="N112" t="s">
        <v>19</v>
      </c>
      <c r="O112" t="s">
        <v>957</v>
      </c>
      <c r="P112" s="7" t="s">
        <v>37</v>
      </c>
      <c r="Q112" t="s">
        <v>189</v>
      </c>
      <c r="R112" t="s">
        <v>190</v>
      </c>
      <c r="S112" t="s">
        <v>736</v>
      </c>
      <c r="T112" t="s">
        <v>1010</v>
      </c>
      <c r="U112" t="s">
        <v>23</v>
      </c>
      <c r="V112">
        <v>0</v>
      </c>
      <c r="W112">
        <v>0</v>
      </c>
      <c r="X112">
        <v>0</v>
      </c>
      <c r="Y112">
        <v>4</v>
      </c>
      <c r="Z112">
        <v>4</v>
      </c>
      <c r="AA112">
        <v>0</v>
      </c>
      <c r="AB112" t="s">
        <v>7</v>
      </c>
      <c r="AC112" t="s">
        <v>7</v>
      </c>
      <c r="AD112" t="s">
        <v>250</v>
      </c>
      <c r="AE112" t="s">
        <v>43</v>
      </c>
      <c r="AF112" s="7" t="str">
        <f t="shared" si="25"/>
        <v>N</v>
      </c>
      <c r="AG112">
        <v>20</v>
      </c>
      <c r="AH112">
        <v>0</v>
      </c>
      <c r="AI112">
        <f>AG112-AH112</f>
        <v>20</v>
      </c>
      <c r="AJ112" t="s">
        <v>13</v>
      </c>
      <c r="AK112" s="50" t="s">
        <v>7</v>
      </c>
      <c r="AL112" s="49" t="s">
        <v>1038</v>
      </c>
      <c r="AM112" s="50" t="s">
        <v>7</v>
      </c>
      <c r="AN112" s="52" t="s">
        <v>1094</v>
      </c>
      <c r="AO112">
        <v>800</v>
      </c>
      <c r="AT112" t="s">
        <v>23</v>
      </c>
      <c r="AU112" t="s">
        <v>23</v>
      </c>
      <c r="AV112" t="s">
        <v>222</v>
      </c>
      <c r="AW112" t="s">
        <v>222</v>
      </c>
      <c r="AX112" t="s">
        <v>222</v>
      </c>
      <c r="AY112" t="s">
        <v>222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2</v>
      </c>
      <c r="BF112">
        <v>2</v>
      </c>
      <c r="BG112">
        <v>2</v>
      </c>
      <c r="BH112" s="25">
        <v>111</v>
      </c>
      <c r="BI112" s="25">
        <v>87</v>
      </c>
      <c r="BJ112" s="25">
        <v>84</v>
      </c>
      <c r="BK112" s="25">
        <v>83</v>
      </c>
      <c r="BL112" s="25">
        <v>81</v>
      </c>
      <c r="BM112" s="25">
        <v>1</v>
      </c>
      <c r="BN112" s="27">
        <v>1</v>
      </c>
      <c r="BO112" s="27">
        <v>1</v>
      </c>
      <c r="BP112" s="27">
        <v>1</v>
      </c>
      <c r="BQ112" s="27">
        <v>1</v>
      </c>
    </row>
    <row r="113" spans="1:80" x14ac:dyDescent="0.3">
      <c r="A113" s="6">
        <v>2837</v>
      </c>
      <c r="B113" t="str">
        <f t="shared" si="37"/>
        <v>Monday</v>
      </c>
      <c r="C113">
        <f t="shared" ref="C113:C119" si="41">A113-A112</f>
        <v>7</v>
      </c>
      <c r="D113" s="9">
        <f>A113-A112</f>
        <v>7</v>
      </c>
      <c r="E113" s="17">
        <f>A113-A112</f>
        <v>7</v>
      </c>
      <c r="F113" s="9">
        <f>A113-A112</f>
        <v>7</v>
      </c>
      <c r="G113" s="9">
        <f>A113-A112</f>
        <v>7</v>
      </c>
      <c r="H113" s="25"/>
      <c r="I113" s="60" t="s">
        <v>7</v>
      </c>
      <c r="J113" s="60" t="s">
        <v>7</v>
      </c>
      <c r="K113" s="59" t="s">
        <v>7</v>
      </c>
      <c r="L113" s="59" t="s">
        <v>7</v>
      </c>
      <c r="M113" s="25" t="s">
        <v>7</v>
      </c>
      <c r="N113" t="s">
        <v>19</v>
      </c>
      <c r="O113" t="s">
        <v>957</v>
      </c>
      <c r="P113" s="7" t="s">
        <v>37</v>
      </c>
      <c r="Q113" t="s">
        <v>732</v>
      </c>
      <c r="R113" t="s">
        <v>871</v>
      </c>
      <c r="S113" t="s">
        <v>736</v>
      </c>
      <c r="T113" s="46" t="s">
        <v>1008</v>
      </c>
      <c r="U113" t="s">
        <v>23</v>
      </c>
      <c r="V113">
        <v>0</v>
      </c>
      <c r="W113">
        <v>1</v>
      </c>
      <c r="X113">
        <v>0</v>
      </c>
      <c r="Y113">
        <v>6</v>
      </c>
      <c r="Z113">
        <v>3</v>
      </c>
      <c r="AA113">
        <v>0</v>
      </c>
      <c r="AB113" t="s">
        <v>7</v>
      </c>
      <c r="AC113" t="s">
        <v>7</v>
      </c>
      <c r="AD113" t="s">
        <v>250</v>
      </c>
      <c r="AE113" t="s">
        <v>43</v>
      </c>
      <c r="AF113" s="7" t="str">
        <f t="shared" si="25"/>
        <v>N</v>
      </c>
      <c r="AG113" t="s">
        <v>7</v>
      </c>
      <c r="AH113" t="s">
        <v>7</v>
      </c>
      <c r="AI113" t="s">
        <v>7</v>
      </c>
      <c r="AJ113" t="s">
        <v>7</v>
      </c>
      <c r="AK113" s="50" t="s">
        <v>7</v>
      </c>
      <c r="AL113" s="49" t="s">
        <v>7</v>
      </c>
      <c r="AM113" s="50" t="s">
        <v>7</v>
      </c>
      <c r="AN113" s="52" t="s">
        <v>7</v>
      </c>
      <c r="AO113" t="s">
        <v>7</v>
      </c>
      <c r="AS113" t="s">
        <v>917</v>
      </c>
      <c r="AT113" s="26" t="s">
        <v>28</v>
      </c>
      <c r="AU113" t="s">
        <v>28</v>
      </c>
      <c r="BH113" s="25">
        <v>112</v>
      </c>
      <c r="BM113" s="25">
        <v>2</v>
      </c>
    </row>
    <row r="114" spans="1:80" x14ac:dyDescent="0.3">
      <c r="A114" s="6">
        <v>2842</v>
      </c>
      <c r="B114" t="str">
        <f t="shared" si="37"/>
        <v>Saturday</v>
      </c>
      <c r="C114">
        <f t="shared" si="41"/>
        <v>5</v>
      </c>
      <c r="D114" s="9">
        <f>A114-A112</f>
        <v>12</v>
      </c>
      <c r="E114" s="17">
        <f>A114-A112</f>
        <v>12</v>
      </c>
      <c r="F114" s="9">
        <f>A114-A112</f>
        <v>12</v>
      </c>
      <c r="G114" s="9">
        <f>A114-A112</f>
        <v>12</v>
      </c>
      <c r="H114" s="43">
        <v>0.66666666666666663</v>
      </c>
      <c r="I114" s="60">
        <v>25</v>
      </c>
      <c r="J114" s="60">
        <v>25</v>
      </c>
      <c r="K114" s="59" t="s">
        <v>7</v>
      </c>
      <c r="L114" s="59" t="s">
        <v>7</v>
      </c>
      <c r="M114" s="25">
        <v>50</v>
      </c>
      <c r="N114" t="s">
        <v>19</v>
      </c>
      <c r="O114" t="s">
        <v>957</v>
      </c>
      <c r="P114" s="7" t="s">
        <v>38</v>
      </c>
      <c r="Q114" t="s">
        <v>86</v>
      </c>
      <c r="R114" t="s">
        <v>87</v>
      </c>
      <c r="S114" t="s">
        <v>736</v>
      </c>
      <c r="T114" s="46" t="s">
        <v>1001</v>
      </c>
      <c r="U114" t="s">
        <v>23</v>
      </c>
      <c r="V114">
        <v>1</v>
      </c>
      <c r="W114">
        <v>1</v>
      </c>
      <c r="X114">
        <v>0</v>
      </c>
      <c r="Y114">
        <v>3</v>
      </c>
      <c r="Z114">
        <v>6</v>
      </c>
      <c r="AA114">
        <v>0</v>
      </c>
      <c r="AB114" t="s">
        <v>7</v>
      </c>
      <c r="AC114" t="s">
        <v>7</v>
      </c>
      <c r="AD114" t="s">
        <v>904</v>
      </c>
      <c r="AE114" t="s">
        <v>87</v>
      </c>
      <c r="AF114" s="7" t="str">
        <f t="shared" si="25"/>
        <v>N</v>
      </c>
      <c r="AG114">
        <v>7</v>
      </c>
      <c r="AH114">
        <v>4</v>
      </c>
      <c r="AI114">
        <f>AG114-AH114</f>
        <v>3</v>
      </c>
      <c r="AJ114" t="s">
        <v>13</v>
      </c>
      <c r="AK114" s="50" t="s">
        <v>7</v>
      </c>
      <c r="AL114" s="49" t="s">
        <v>1018</v>
      </c>
      <c r="AM114" s="50" t="s">
        <v>7</v>
      </c>
      <c r="AN114" s="52" t="s">
        <v>1095</v>
      </c>
      <c r="AT114" t="s">
        <v>23</v>
      </c>
      <c r="AU114" t="s">
        <v>23</v>
      </c>
      <c r="AV114" t="s">
        <v>221</v>
      </c>
      <c r="AW114" t="s">
        <v>221</v>
      </c>
      <c r="AX114" t="s">
        <v>221</v>
      </c>
      <c r="AY114" t="s">
        <v>221</v>
      </c>
      <c r="AZ114">
        <v>1</v>
      </c>
      <c r="BA114">
        <v>1</v>
      </c>
      <c r="BB114">
        <v>1</v>
      </c>
      <c r="BC114">
        <v>1</v>
      </c>
      <c r="BD114">
        <v>1</v>
      </c>
      <c r="BE114">
        <v>0</v>
      </c>
      <c r="BF114">
        <v>0</v>
      </c>
      <c r="BG114">
        <v>0</v>
      </c>
      <c r="BH114" s="25">
        <v>113</v>
      </c>
      <c r="BI114" s="25">
        <v>88</v>
      </c>
      <c r="BJ114" s="25">
        <v>85</v>
      </c>
      <c r="BK114" s="25">
        <v>84</v>
      </c>
      <c r="BL114" s="25">
        <v>82</v>
      </c>
      <c r="BM114" s="25">
        <v>3</v>
      </c>
      <c r="BN114" s="27">
        <v>2</v>
      </c>
      <c r="BO114" s="27">
        <v>2</v>
      </c>
      <c r="BP114" s="27">
        <v>2</v>
      </c>
      <c r="BQ114" s="27">
        <v>2</v>
      </c>
    </row>
    <row r="115" spans="1:80" x14ac:dyDescent="0.3">
      <c r="A115" s="6">
        <v>2848</v>
      </c>
      <c r="B115" t="str">
        <f t="shared" si="37"/>
        <v>Friday</v>
      </c>
      <c r="C115">
        <f t="shared" si="41"/>
        <v>6</v>
      </c>
      <c r="D115" s="9">
        <f t="shared" ref="D115:D120" si="42">A115-A114</f>
        <v>6</v>
      </c>
      <c r="E115" s="17">
        <f t="shared" ref="E115:E120" si="43">A115-A114</f>
        <v>6</v>
      </c>
      <c r="F115" s="9">
        <f t="shared" ref="F115:F120" si="44">A115-A114</f>
        <v>6</v>
      </c>
      <c r="G115" s="9">
        <f t="shared" ref="G115:G120" si="45">A115-A114</f>
        <v>6</v>
      </c>
      <c r="H115" s="43">
        <v>0.67708333333333337</v>
      </c>
      <c r="I115" s="60">
        <v>20</v>
      </c>
      <c r="J115" s="60">
        <v>20</v>
      </c>
      <c r="K115" s="59" t="s">
        <v>7</v>
      </c>
      <c r="L115" s="59" t="s">
        <v>7</v>
      </c>
      <c r="M115" s="25">
        <v>40</v>
      </c>
      <c r="N115" t="s">
        <v>19</v>
      </c>
      <c r="O115" t="s">
        <v>957</v>
      </c>
      <c r="P115" s="7" t="s">
        <v>37</v>
      </c>
      <c r="Q115" t="s">
        <v>394</v>
      </c>
      <c r="R115" t="s">
        <v>905</v>
      </c>
      <c r="S115" t="s">
        <v>19</v>
      </c>
      <c r="T115" s="46" t="s">
        <v>1122</v>
      </c>
      <c r="U115" t="s">
        <v>23</v>
      </c>
      <c r="V115">
        <v>0</v>
      </c>
      <c r="W115">
        <v>2</v>
      </c>
      <c r="X115">
        <v>0</v>
      </c>
      <c r="Y115">
        <v>1</v>
      </c>
      <c r="Z115">
        <v>4</v>
      </c>
      <c r="AA115">
        <v>0</v>
      </c>
      <c r="AB115" t="s">
        <v>7</v>
      </c>
      <c r="AC115" t="s">
        <v>7</v>
      </c>
      <c r="AD115" t="s">
        <v>250</v>
      </c>
      <c r="AE115" t="s">
        <v>43</v>
      </c>
      <c r="AF115" s="7" t="str">
        <f t="shared" si="25"/>
        <v>N</v>
      </c>
      <c r="AG115">
        <v>22</v>
      </c>
      <c r="AH115">
        <v>0</v>
      </c>
      <c r="AI115">
        <f t="shared" ref="AI115:AI122" si="46">AG115-AH115</f>
        <v>22</v>
      </c>
      <c r="AJ115" t="s">
        <v>13</v>
      </c>
      <c r="AK115" s="50" t="s">
        <v>7</v>
      </c>
      <c r="AL115" s="49" t="s">
        <v>1012</v>
      </c>
      <c r="AM115" s="50" t="s">
        <v>7</v>
      </c>
      <c r="AN115" s="52" t="s">
        <v>1098</v>
      </c>
      <c r="AO115">
        <v>600</v>
      </c>
      <c r="AR115" s="52" t="s">
        <v>26</v>
      </c>
      <c r="AT115" t="s">
        <v>23</v>
      </c>
      <c r="AU115" t="s">
        <v>23</v>
      </c>
      <c r="AV115" t="s">
        <v>223</v>
      </c>
      <c r="AW115" t="s">
        <v>223</v>
      </c>
      <c r="AX115" t="s">
        <v>223</v>
      </c>
      <c r="AY115" t="s">
        <v>223</v>
      </c>
      <c r="AZ115">
        <v>2</v>
      </c>
      <c r="BA115">
        <v>2</v>
      </c>
      <c r="BB115">
        <v>2</v>
      </c>
      <c r="BC115">
        <v>2</v>
      </c>
      <c r="BD115">
        <v>2</v>
      </c>
      <c r="BE115">
        <v>0</v>
      </c>
      <c r="BF115">
        <v>0</v>
      </c>
      <c r="BG115">
        <v>0</v>
      </c>
      <c r="BH115" s="25">
        <v>114</v>
      </c>
      <c r="BI115" s="25">
        <v>89</v>
      </c>
      <c r="BJ115" s="25">
        <v>86</v>
      </c>
      <c r="BK115" s="25">
        <v>85</v>
      </c>
      <c r="BL115" s="25">
        <v>83</v>
      </c>
      <c r="BM115" s="25">
        <v>4</v>
      </c>
      <c r="BN115" s="27">
        <v>3</v>
      </c>
      <c r="BO115" s="27">
        <v>3</v>
      </c>
      <c r="BP115" s="27">
        <v>3</v>
      </c>
      <c r="BQ115" s="27">
        <v>3</v>
      </c>
    </row>
    <row r="116" spans="1:80" x14ac:dyDescent="0.3">
      <c r="A116" s="6">
        <v>2858</v>
      </c>
      <c r="B116" t="str">
        <f t="shared" si="37"/>
        <v>Monday</v>
      </c>
      <c r="C116">
        <f t="shared" si="41"/>
        <v>10</v>
      </c>
      <c r="D116" s="9">
        <f t="shared" si="42"/>
        <v>10</v>
      </c>
      <c r="E116" s="17">
        <f t="shared" si="43"/>
        <v>10</v>
      </c>
      <c r="F116" s="9">
        <f t="shared" si="44"/>
        <v>10</v>
      </c>
      <c r="G116" s="9">
        <f t="shared" si="45"/>
        <v>10</v>
      </c>
      <c r="H116" s="43">
        <v>0.66666666666666663</v>
      </c>
      <c r="I116" s="60">
        <v>25</v>
      </c>
      <c r="J116" s="60">
        <v>25</v>
      </c>
      <c r="K116" s="59" t="s">
        <v>7</v>
      </c>
      <c r="L116" s="59" t="s">
        <v>7</v>
      </c>
      <c r="M116" s="25">
        <v>50</v>
      </c>
      <c r="N116" t="s">
        <v>19</v>
      </c>
      <c r="O116" t="s">
        <v>957</v>
      </c>
      <c r="P116" s="7" t="s">
        <v>37</v>
      </c>
      <c r="Q116" t="s">
        <v>86</v>
      </c>
      <c r="R116" t="s">
        <v>87</v>
      </c>
      <c r="S116" t="s">
        <v>736</v>
      </c>
      <c r="T116" s="46" t="s">
        <v>1001</v>
      </c>
      <c r="U116" t="s">
        <v>23</v>
      </c>
      <c r="V116">
        <v>1</v>
      </c>
      <c r="W116">
        <v>3</v>
      </c>
      <c r="X116">
        <v>0</v>
      </c>
      <c r="Y116">
        <v>3</v>
      </c>
      <c r="Z116">
        <v>6</v>
      </c>
      <c r="AA116">
        <v>0</v>
      </c>
      <c r="AB116" t="s">
        <v>7</v>
      </c>
      <c r="AC116" t="s">
        <v>7</v>
      </c>
      <c r="AD116" t="s">
        <v>250</v>
      </c>
      <c r="AE116" t="s">
        <v>43</v>
      </c>
      <c r="AF116" s="7" t="str">
        <f t="shared" si="25"/>
        <v>N</v>
      </c>
      <c r="AG116">
        <v>11</v>
      </c>
      <c r="AH116">
        <v>0</v>
      </c>
      <c r="AI116">
        <f t="shared" si="46"/>
        <v>11</v>
      </c>
      <c r="AJ116" t="s">
        <v>13</v>
      </c>
      <c r="AK116" s="50" t="s">
        <v>7</v>
      </c>
      <c r="AL116" s="49" t="s">
        <v>1013</v>
      </c>
      <c r="AM116" s="50" t="s">
        <v>7</v>
      </c>
      <c r="AN116" s="52" t="s">
        <v>1099</v>
      </c>
      <c r="AO116">
        <v>500</v>
      </c>
      <c r="AT116" t="s">
        <v>23</v>
      </c>
      <c r="AU116" t="s">
        <v>23</v>
      </c>
      <c r="AV116" t="s">
        <v>224</v>
      </c>
      <c r="AW116" t="s">
        <v>224</v>
      </c>
      <c r="AX116" t="s">
        <v>224</v>
      </c>
      <c r="AY116" t="s">
        <v>224</v>
      </c>
      <c r="AZ116">
        <v>3</v>
      </c>
      <c r="BA116">
        <v>3</v>
      </c>
      <c r="BB116">
        <v>3</v>
      </c>
      <c r="BC116">
        <v>3</v>
      </c>
      <c r="BD116">
        <v>3</v>
      </c>
      <c r="BE116">
        <v>0</v>
      </c>
      <c r="BF116">
        <v>0</v>
      </c>
      <c r="BG116">
        <v>0</v>
      </c>
      <c r="BH116" s="25">
        <v>115</v>
      </c>
      <c r="BI116" s="25">
        <v>100</v>
      </c>
      <c r="BJ116" s="25">
        <v>87</v>
      </c>
      <c r="BK116" s="25">
        <v>86</v>
      </c>
      <c r="BL116" s="25">
        <v>84</v>
      </c>
      <c r="BM116" s="25">
        <v>5</v>
      </c>
      <c r="BN116" s="27">
        <v>4</v>
      </c>
      <c r="BO116" s="27">
        <v>4</v>
      </c>
      <c r="BP116" s="27">
        <v>4</v>
      </c>
      <c r="BQ116" s="27">
        <v>4</v>
      </c>
    </row>
    <row r="117" spans="1:80" x14ac:dyDescent="0.3">
      <c r="A117" s="6">
        <v>2877</v>
      </c>
      <c r="B117" t="str">
        <f t="shared" si="37"/>
        <v>Saturday</v>
      </c>
      <c r="C117">
        <f t="shared" si="41"/>
        <v>19</v>
      </c>
      <c r="D117" s="9">
        <f t="shared" si="42"/>
        <v>19</v>
      </c>
      <c r="E117" s="17">
        <f t="shared" si="43"/>
        <v>19</v>
      </c>
      <c r="F117" s="9">
        <f t="shared" si="44"/>
        <v>19</v>
      </c>
      <c r="G117" s="9">
        <f t="shared" si="45"/>
        <v>19</v>
      </c>
      <c r="H117" s="43">
        <v>0.64583333333333337</v>
      </c>
      <c r="I117" s="60"/>
      <c r="J117" s="60"/>
      <c r="K117" s="59" t="s">
        <v>7</v>
      </c>
      <c r="L117" s="59" t="s">
        <v>7</v>
      </c>
      <c r="M117" s="25"/>
      <c r="N117" t="s">
        <v>19</v>
      </c>
      <c r="O117" t="s">
        <v>957</v>
      </c>
      <c r="P117" s="7" t="s">
        <v>28</v>
      </c>
      <c r="Q117" t="s">
        <v>112</v>
      </c>
      <c r="R117" t="s">
        <v>113</v>
      </c>
      <c r="S117" t="s">
        <v>19</v>
      </c>
      <c r="T117" s="47" t="s">
        <v>1011</v>
      </c>
      <c r="U117" t="s">
        <v>23</v>
      </c>
      <c r="V117">
        <v>3</v>
      </c>
      <c r="W117">
        <v>0</v>
      </c>
      <c r="X117">
        <v>1</v>
      </c>
      <c r="Y117">
        <v>4</v>
      </c>
      <c r="Z117">
        <v>0</v>
      </c>
      <c r="AA117">
        <v>1</v>
      </c>
      <c r="AB117" t="s">
        <v>7</v>
      </c>
      <c r="AC117" t="s">
        <v>7</v>
      </c>
      <c r="AD117" t="s">
        <v>101</v>
      </c>
      <c r="AE117" t="s">
        <v>100</v>
      </c>
      <c r="AF117" s="7" t="str">
        <f t="shared" si="25"/>
        <v>N</v>
      </c>
      <c r="AG117">
        <v>6</v>
      </c>
      <c r="AH117">
        <v>0</v>
      </c>
      <c r="AI117">
        <f t="shared" si="46"/>
        <v>6</v>
      </c>
      <c r="AJ117" t="s">
        <v>13</v>
      </c>
      <c r="AK117" s="50" t="s">
        <v>7</v>
      </c>
      <c r="AL117" s="49" t="s">
        <v>1013</v>
      </c>
      <c r="AM117" s="50" t="s">
        <v>7</v>
      </c>
      <c r="AN117" s="52" t="s">
        <v>1047</v>
      </c>
      <c r="AO117">
        <v>2000</v>
      </c>
      <c r="AT117" t="s">
        <v>23</v>
      </c>
      <c r="AU117" t="s">
        <v>23</v>
      </c>
      <c r="AV117" t="s">
        <v>225</v>
      </c>
      <c r="AW117" t="s">
        <v>225</v>
      </c>
      <c r="AX117" t="s">
        <v>225</v>
      </c>
      <c r="AY117" t="s">
        <v>225</v>
      </c>
      <c r="AZ117">
        <v>4</v>
      </c>
      <c r="BA117">
        <v>4</v>
      </c>
      <c r="BB117">
        <v>4</v>
      </c>
      <c r="BC117">
        <v>4</v>
      </c>
      <c r="BD117">
        <v>4</v>
      </c>
      <c r="BE117">
        <v>0</v>
      </c>
      <c r="BF117">
        <v>0</v>
      </c>
      <c r="BG117">
        <v>0</v>
      </c>
      <c r="BH117" s="25">
        <v>116</v>
      </c>
      <c r="BI117" s="25">
        <v>101</v>
      </c>
      <c r="BJ117" s="25">
        <v>88</v>
      </c>
      <c r="BK117" s="25">
        <v>87</v>
      </c>
      <c r="BL117" s="25">
        <v>85</v>
      </c>
      <c r="BM117" s="25">
        <v>6</v>
      </c>
      <c r="BN117" s="27">
        <v>5</v>
      </c>
      <c r="BO117" s="27">
        <v>5</v>
      </c>
      <c r="BP117" s="27">
        <v>5</v>
      </c>
      <c r="BQ117" s="27">
        <v>5</v>
      </c>
    </row>
    <row r="118" spans="1:80" x14ac:dyDescent="0.3">
      <c r="A118" s="6">
        <v>2881</v>
      </c>
      <c r="B118" t="str">
        <f t="shared" si="37"/>
        <v>Wednesday</v>
      </c>
      <c r="C118">
        <f t="shared" si="41"/>
        <v>4</v>
      </c>
      <c r="D118" s="9">
        <f t="shared" si="42"/>
        <v>4</v>
      </c>
      <c r="E118" s="17">
        <f t="shared" si="43"/>
        <v>4</v>
      </c>
      <c r="F118" s="9">
        <f t="shared" si="44"/>
        <v>4</v>
      </c>
      <c r="G118" s="9">
        <f t="shared" si="45"/>
        <v>4</v>
      </c>
      <c r="H118" s="43">
        <v>0.64583333333333337</v>
      </c>
      <c r="I118" s="60">
        <v>18</v>
      </c>
      <c r="J118" s="60">
        <v>18</v>
      </c>
      <c r="K118" s="59" t="s">
        <v>7</v>
      </c>
      <c r="L118" s="59" t="s">
        <v>7</v>
      </c>
      <c r="M118" s="25">
        <v>36</v>
      </c>
      <c r="N118" t="s">
        <v>19</v>
      </c>
      <c r="O118" t="s">
        <v>957</v>
      </c>
      <c r="P118" s="7" t="s">
        <v>37</v>
      </c>
      <c r="Q118" t="s">
        <v>1105</v>
      </c>
      <c r="R118" s="25" t="s">
        <v>43</v>
      </c>
      <c r="S118" t="s">
        <v>19</v>
      </c>
      <c r="T118" s="46" t="s">
        <v>951</v>
      </c>
      <c r="U118" t="s">
        <v>1256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 t="s">
        <v>7</v>
      </c>
      <c r="AC118" t="s">
        <v>7</v>
      </c>
      <c r="AD118" t="s">
        <v>250</v>
      </c>
      <c r="AE118" t="s">
        <v>43</v>
      </c>
      <c r="AF118" s="7" t="str">
        <f t="shared" si="25"/>
        <v>N</v>
      </c>
      <c r="AG118">
        <v>5</v>
      </c>
      <c r="AH118">
        <v>5</v>
      </c>
      <c r="AI118">
        <f t="shared" si="46"/>
        <v>0</v>
      </c>
      <c r="AJ118" t="s">
        <v>91</v>
      </c>
      <c r="AK118" s="50" t="s">
        <v>7</v>
      </c>
      <c r="AL118" s="49" t="s">
        <v>492</v>
      </c>
      <c r="AM118" s="50" t="s">
        <v>7</v>
      </c>
      <c r="AN118" s="52" t="s">
        <v>1106</v>
      </c>
      <c r="AO118">
        <v>1000</v>
      </c>
      <c r="AT118" t="s">
        <v>23</v>
      </c>
      <c r="AU118" t="s">
        <v>23</v>
      </c>
      <c r="AV118" t="s">
        <v>226</v>
      </c>
      <c r="AW118" t="s">
        <v>226</v>
      </c>
      <c r="AX118" t="s">
        <v>226</v>
      </c>
      <c r="AY118" t="s">
        <v>226</v>
      </c>
      <c r="AZ118">
        <v>5</v>
      </c>
      <c r="BA118">
        <v>5</v>
      </c>
      <c r="BB118">
        <v>5</v>
      </c>
      <c r="BC118">
        <v>5</v>
      </c>
      <c r="BD118">
        <v>5</v>
      </c>
      <c r="BE118">
        <v>0</v>
      </c>
      <c r="BF118">
        <v>0</v>
      </c>
      <c r="BG118">
        <v>0</v>
      </c>
      <c r="BH118" s="25">
        <v>117</v>
      </c>
      <c r="BI118" s="25">
        <v>102</v>
      </c>
      <c r="BJ118" s="25">
        <v>89</v>
      </c>
      <c r="BK118" s="25">
        <v>88</v>
      </c>
      <c r="BL118" s="25">
        <v>86</v>
      </c>
      <c r="BM118" s="25">
        <v>7</v>
      </c>
      <c r="BN118" s="27">
        <v>6</v>
      </c>
      <c r="BO118" s="27">
        <v>6</v>
      </c>
      <c r="BP118" s="27">
        <v>6</v>
      </c>
      <c r="BQ118" s="27">
        <v>6</v>
      </c>
    </row>
    <row r="119" spans="1:80" x14ac:dyDescent="0.3">
      <c r="A119" s="6">
        <v>2889</v>
      </c>
      <c r="B119" t="str">
        <f t="shared" si="37"/>
        <v>Thursday</v>
      </c>
      <c r="C119">
        <f t="shared" si="41"/>
        <v>8</v>
      </c>
      <c r="D119" s="9">
        <f t="shared" si="42"/>
        <v>8</v>
      </c>
      <c r="E119" s="17">
        <f t="shared" si="43"/>
        <v>8</v>
      </c>
      <c r="F119" s="9">
        <f t="shared" si="44"/>
        <v>8</v>
      </c>
      <c r="G119" s="9">
        <f t="shared" si="45"/>
        <v>8</v>
      </c>
      <c r="H119" s="43">
        <v>0.60416666666666663</v>
      </c>
      <c r="I119" s="60">
        <v>35</v>
      </c>
      <c r="J119" s="60">
        <v>35</v>
      </c>
      <c r="K119" s="59" t="s">
        <v>7</v>
      </c>
      <c r="L119" s="59" t="s">
        <v>7</v>
      </c>
      <c r="M119" s="25">
        <v>70</v>
      </c>
      <c r="N119" t="s">
        <v>19</v>
      </c>
      <c r="O119" t="s">
        <v>957</v>
      </c>
      <c r="P119" s="7" t="s">
        <v>28</v>
      </c>
      <c r="Q119" t="s">
        <v>181</v>
      </c>
      <c r="R119" t="s">
        <v>183</v>
      </c>
      <c r="S119" t="s">
        <v>19</v>
      </c>
      <c r="T119" t="s">
        <v>1009</v>
      </c>
      <c r="U119" t="s">
        <v>23</v>
      </c>
      <c r="V119">
        <v>6</v>
      </c>
      <c r="W119">
        <v>2</v>
      </c>
      <c r="X119">
        <v>1</v>
      </c>
      <c r="Y119">
        <v>6</v>
      </c>
      <c r="Z119">
        <v>3</v>
      </c>
      <c r="AA119">
        <v>1</v>
      </c>
      <c r="AB119" t="s">
        <v>7</v>
      </c>
      <c r="AC119" t="s">
        <v>7</v>
      </c>
      <c r="AD119" t="s">
        <v>915</v>
      </c>
      <c r="AE119" t="s">
        <v>916</v>
      </c>
      <c r="AF119" s="7" t="str">
        <f t="shared" si="25"/>
        <v>N</v>
      </c>
      <c r="AG119">
        <v>10</v>
      </c>
      <c r="AH119">
        <v>4</v>
      </c>
      <c r="AI119">
        <f t="shared" si="46"/>
        <v>6</v>
      </c>
      <c r="AJ119" t="s">
        <v>13</v>
      </c>
      <c r="AK119" s="50" t="s">
        <v>7</v>
      </c>
      <c r="AL119" s="49" t="s">
        <v>257</v>
      </c>
      <c r="AM119" s="50" t="s">
        <v>7</v>
      </c>
      <c r="AN119" s="52" t="s">
        <v>1120</v>
      </c>
      <c r="AO119">
        <f>(10000+12000+8000+10000+10000)/5</f>
        <v>10000</v>
      </c>
      <c r="AP119" s="60">
        <v>8000</v>
      </c>
      <c r="AQ119" s="60">
        <v>12000</v>
      </c>
      <c r="AR119" t="s">
        <v>1119</v>
      </c>
      <c r="AT119" t="s">
        <v>23</v>
      </c>
      <c r="AU119" t="s">
        <v>23</v>
      </c>
      <c r="AV119" t="s">
        <v>237</v>
      </c>
      <c r="AW119" t="s">
        <v>237</v>
      </c>
      <c r="AX119" t="s">
        <v>237</v>
      </c>
      <c r="AY119" t="s">
        <v>237</v>
      </c>
      <c r="AZ119">
        <v>6</v>
      </c>
      <c r="BA119">
        <v>6</v>
      </c>
      <c r="BB119">
        <v>6</v>
      </c>
      <c r="BC119">
        <v>6</v>
      </c>
      <c r="BD119">
        <v>1</v>
      </c>
      <c r="BE119">
        <v>1</v>
      </c>
      <c r="BF119">
        <v>1</v>
      </c>
      <c r="BG119">
        <v>1</v>
      </c>
      <c r="BH119" s="25">
        <v>118</v>
      </c>
      <c r="BI119" s="25">
        <v>103</v>
      </c>
      <c r="BJ119" s="25">
        <v>90</v>
      </c>
      <c r="BK119" s="25">
        <v>89</v>
      </c>
      <c r="BL119" s="25">
        <v>87</v>
      </c>
      <c r="BM119" s="25">
        <v>8</v>
      </c>
      <c r="BN119" s="27">
        <v>8</v>
      </c>
      <c r="BO119" s="27">
        <v>8</v>
      </c>
      <c r="BP119" s="27">
        <v>8</v>
      </c>
      <c r="BQ119" s="27">
        <v>8</v>
      </c>
      <c r="BR119" s="27" t="s">
        <v>23</v>
      </c>
      <c r="BS119" s="27" t="s">
        <v>23</v>
      </c>
      <c r="BT119" s="71" t="s">
        <v>23</v>
      </c>
      <c r="BU119" s="27" t="s">
        <v>23</v>
      </c>
      <c r="BY119" s="71" t="s">
        <v>23</v>
      </c>
      <c r="BZ119" s="7" t="s">
        <v>23</v>
      </c>
      <c r="CA119" s="7" t="s">
        <v>23</v>
      </c>
      <c r="CB119" s="7" t="s">
        <v>23</v>
      </c>
    </row>
    <row r="120" spans="1:80" x14ac:dyDescent="0.3">
      <c r="A120" s="6">
        <v>3199</v>
      </c>
      <c r="B120" t="str">
        <f t="shared" si="37"/>
        <v>Saturday</v>
      </c>
      <c r="C120">
        <f t="shared" ref="C120" si="47">A120-A119</f>
        <v>310</v>
      </c>
      <c r="D120" s="9">
        <f t="shared" si="42"/>
        <v>310</v>
      </c>
      <c r="E120" s="17">
        <f t="shared" si="43"/>
        <v>310</v>
      </c>
      <c r="F120" s="9">
        <f t="shared" si="44"/>
        <v>310</v>
      </c>
      <c r="G120" s="9">
        <f t="shared" si="45"/>
        <v>310</v>
      </c>
      <c r="H120" s="1">
        <v>0.66666666666666663</v>
      </c>
      <c r="I120" s="65">
        <v>25</v>
      </c>
      <c r="J120" s="65">
        <v>20</v>
      </c>
      <c r="K120" s="59" t="s">
        <v>7</v>
      </c>
      <c r="L120" s="59" t="s">
        <v>7</v>
      </c>
      <c r="M120" s="25">
        <v>45</v>
      </c>
      <c r="N120" t="s">
        <v>19</v>
      </c>
      <c r="O120" t="s">
        <v>957</v>
      </c>
      <c r="P120" s="7" t="s">
        <v>37</v>
      </c>
      <c r="Q120" t="s">
        <v>32</v>
      </c>
      <c r="R120" t="s">
        <v>44</v>
      </c>
      <c r="S120" t="s">
        <v>19</v>
      </c>
      <c r="T120" t="s">
        <v>1123</v>
      </c>
      <c r="U120" t="s">
        <v>23</v>
      </c>
      <c r="V120">
        <v>0</v>
      </c>
      <c r="W120">
        <v>1</v>
      </c>
      <c r="X120">
        <v>0</v>
      </c>
      <c r="Y120">
        <v>1</v>
      </c>
      <c r="Z120">
        <v>5</v>
      </c>
      <c r="AA120">
        <v>0</v>
      </c>
      <c r="AB120" t="s">
        <v>7</v>
      </c>
      <c r="AC120" t="s">
        <v>7</v>
      </c>
      <c r="AD120" t="s">
        <v>1128</v>
      </c>
      <c r="AE120" t="s">
        <v>44</v>
      </c>
      <c r="AF120" s="7" t="str">
        <f t="shared" si="25"/>
        <v>N</v>
      </c>
      <c r="AG120">
        <v>25</v>
      </c>
      <c r="AH120">
        <v>0</v>
      </c>
      <c r="AI120">
        <f t="shared" si="46"/>
        <v>25</v>
      </c>
      <c r="AJ120" t="s">
        <v>13</v>
      </c>
      <c r="AK120" s="50" t="s">
        <v>7</v>
      </c>
      <c r="AL120" s="49" t="s">
        <v>1125</v>
      </c>
      <c r="AM120" s="50" t="s">
        <v>7</v>
      </c>
      <c r="AN120" s="52" t="s">
        <v>1124</v>
      </c>
      <c r="AO120">
        <v>800</v>
      </c>
      <c r="AS120" t="s">
        <v>165</v>
      </c>
      <c r="AT120" t="s">
        <v>23</v>
      </c>
      <c r="AU120" t="s">
        <v>23</v>
      </c>
      <c r="AV120" t="s">
        <v>221</v>
      </c>
      <c r="AW120" t="s">
        <v>221</v>
      </c>
      <c r="AX120" t="s">
        <v>221</v>
      </c>
      <c r="AY120" t="s">
        <v>221</v>
      </c>
      <c r="AZ120">
        <v>7</v>
      </c>
      <c r="BA120">
        <v>7</v>
      </c>
      <c r="BB120">
        <v>7</v>
      </c>
      <c r="BC120">
        <v>7</v>
      </c>
      <c r="BD120">
        <v>0</v>
      </c>
      <c r="BE120">
        <v>0</v>
      </c>
      <c r="BF120">
        <v>0</v>
      </c>
      <c r="BG120">
        <v>0</v>
      </c>
      <c r="BH120" s="25">
        <v>119</v>
      </c>
      <c r="BI120" s="25">
        <v>104</v>
      </c>
      <c r="BJ120" s="25">
        <v>91</v>
      </c>
      <c r="BK120" s="25">
        <v>90</v>
      </c>
      <c r="BL120" s="25">
        <v>88</v>
      </c>
      <c r="BM120" s="25">
        <v>1</v>
      </c>
      <c r="BN120" s="27">
        <v>1</v>
      </c>
      <c r="BO120" s="27">
        <v>1</v>
      </c>
      <c r="BP120" s="27">
        <v>1</v>
      </c>
      <c r="BQ120" s="27">
        <v>1</v>
      </c>
    </row>
    <row r="121" spans="1:80" x14ac:dyDescent="0.3">
      <c r="A121" s="6">
        <v>3208</v>
      </c>
      <c r="B121" t="str">
        <f t="shared" si="37"/>
        <v>Monday</v>
      </c>
      <c r="C121">
        <f t="shared" ref="C121" si="48">A121-A120</f>
        <v>9</v>
      </c>
      <c r="D121" s="9">
        <f t="shared" ref="D121" si="49">A121-A120</f>
        <v>9</v>
      </c>
      <c r="E121" s="17">
        <f t="shared" ref="E121" si="50">A121-A120</f>
        <v>9</v>
      </c>
      <c r="F121" s="9">
        <f t="shared" ref="F121" si="51">A121-A120</f>
        <v>9</v>
      </c>
      <c r="G121" s="9">
        <f t="shared" ref="G121" si="52">A121-A120</f>
        <v>9</v>
      </c>
      <c r="H121" s="1">
        <v>0.66666666666666663</v>
      </c>
      <c r="I121" s="60">
        <v>22.5</v>
      </c>
      <c r="J121" s="60">
        <v>22.5</v>
      </c>
      <c r="K121" s="59" t="s">
        <v>7</v>
      </c>
      <c r="L121" s="59" t="s">
        <v>7</v>
      </c>
      <c r="M121">
        <v>45</v>
      </c>
      <c r="N121" t="s">
        <v>19</v>
      </c>
      <c r="O121" t="s">
        <v>957</v>
      </c>
      <c r="P121" s="7" t="s">
        <v>37</v>
      </c>
      <c r="Q121" t="s">
        <v>732</v>
      </c>
      <c r="R121" t="s">
        <v>871</v>
      </c>
      <c r="S121" t="s">
        <v>736</v>
      </c>
      <c r="T121" t="s">
        <v>1133</v>
      </c>
      <c r="U121" t="s">
        <v>23</v>
      </c>
      <c r="V121">
        <v>0</v>
      </c>
      <c r="W121">
        <v>2</v>
      </c>
      <c r="X121">
        <v>0</v>
      </c>
      <c r="Y121">
        <v>4</v>
      </c>
      <c r="Z121">
        <v>6</v>
      </c>
      <c r="AA121">
        <v>1</v>
      </c>
      <c r="AB121" t="s">
        <v>7</v>
      </c>
      <c r="AC121" t="s">
        <v>7</v>
      </c>
      <c r="AD121" t="s">
        <v>250</v>
      </c>
      <c r="AE121" t="s">
        <v>43</v>
      </c>
      <c r="AF121" s="7" t="str">
        <f t="shared" si="25"/>
        <v>N</v>
      </c>
      <c r="AG121">
        <v>24</v>
      </c>
      <c r="AH121">
        <v>0</v>
      </c>
      <c r="AI121">
        <f t="shared" si="46"/>
        <v>24</v>
      </c>
      <c r="AJ121" t="s">
        <v>13</v>
      </c>
      <c r="AK121" s="50" t="s">
        <v>7</v>
      </c>
      <c r="AL121" s="49" t="s">
        <v>1145</v>
      </c>
      <c r="AM121" s="50" t="s">
        <v>7</v>
      </c>
      <c r="AN121" s="52" t="s">
        <v>1146</v>
      </c>
      <c r="AT121" t="s">
        <v>23</v>
      </c>
      <c r="AU121" t="s">
        <v>23</v>
      </c>
      <c r="AV121" t="s">
        <v>223</v>
      </c>
      <c r="AW121" t="s">
        <v>223</v>
      </c>
      <c r="AX121" t="s">
        <v>223</v>
      </c>
      <c r="AY121" t="s">
        <v>223</v>
      </c>
      <c r="AZ121">
        <v>8</v>
      </c>
      <c r="BA121">
        <v>8</v>
      </c>
      <c r="BB121">
        <v>8</v>
      </c>
      <c r="BC121">
        <v>8</v>
      </c>
      <c r="BD121">
        <v>0</v>
      </c>
      <c r="BE121">
        <v>0</v>
      </c>
      <c r="BF121">
        <v>0</v>
      </c>
      <c r="BG121">
        <v>0</v>
      </c>
      <c r="BH121" s="25">
        <v>120</v>
      </c>
      <c r="BI121" s="25">
        <v>105</v>
      </c>
      <c r="BJ121" s="25">
        <v>92</v>
      </c>
      <c r="BK121" s="25">
        <v>91</v>
      </c>
      <c r="BL121" s="25">
        <v>89</v>
      </c>
      <c r="BM121" s="25">
        <v>2</v>
      </c>
      <c r="BN121" s="27">
        <v>2</v>
      </c>
      <c r="BO121" s="27">
        <v>2</v>
      </c>
      <c r="BP121" s="27">
        <v>2</v>
      </c>
      <c r="BQ121" s="27">
        <v>2</v>
      </c>
    </row>
    <row r="122" spans="1:80" x14ac:dyDescent="0.3">
      <c r="A122" s="6">
        <v>3211</v>
      </c>
      <c r="B122" t="str">
        <f t="shared" si="37"/>
        <v>Thursday</v>
      </c>
      <c r="C122">
        <f t="shared" ref="C122" si="53">A122-A121</f>
        <v>3</v>
      </c>
      <c r="D122" s="9">
        <f t="shared" ref="D122" si="54">A122-A121</f>
        <v>3</v>
      </c>
      <c r="E122" s="17">
        <f t="shared" ref="E122" si="55">A122-A121</f>
        <v>3</v>
      </c>
      <c r="F122" s="9">
        <f t="shared" ref="F122" si="56">A122-A121</f>
        <v>3</v>
      </c>
      <c r="G122" s="9">
        <f t="shared" ref="G122" si="57">A122-A121</f>
        <v>3</v>
      </c>
      <c r="H122" s="1">
        <v>0.66666666666666663</v>
      </c>
      <c r="I122" s="60">
        <v>25</v>
      </c>
      <c r="J122" s="60">
        <v>25</v>
      </c>
      <c r="K122" s="59" t="s">
        <v>7</v>
      </c>
      <c r="L122" s="59" t="s">
        <v>7</v>
      </c>
      <c r="M122">
        <v>50</v>
      </c>
      <c r="N122" t="s">
        <v>19</v>
      </c>
      <c r="O122" t="s">
        <v>957</v>
      </c>
      <c r="P122" s="7" t="s">
        <v>37</v>
      </c>
      <c r="Q122" t="s">
        <v>643</v>
      </c>
      <c r="R122" t="s">
        <v>1157</v>
      </c>
      <c r="S122" t="s">
        <v>1158</v>
      </c>
      <c r="T122" t="s">
        <v>1159</v>
      </c>
      <c r="U122" t="s">
        <v>23</v>
      </c>
      <c r="V122">
        <v>2</v>
      </c>
      <c r="W122">
        <v>0</v>
      </c>
      <c r="X122">
        <v>0</v>
      </c>
      <c r="Y122">
        <v>2</v>
      </c>
      <c r="Z122">
        <v>4</v>
      </c>
      <c r="AA122">
        <v>1</v>
      </c>
      <c r="AB122" t="s">
        <v>7</v>
      </c>
      <c r="AC122" t="s">
        <v>7</v>
      </c>
      <c r="AD122" t="s">
        <v>250</v>
      </c>
      <c r="AE122" t="s">
        <v>43</v>
      </c>
      <c r="AF122" s="7" t="str">
        <f t="shared" si="25"/>
        <v>N</v>
      </c>
      <c r="AG122">
        <v>5</v>
      </c>
      <c r="AH122">
        <v>0</v>
      </c>
      <c r="AI122">
        <f t="shared" si="46"/>
        <v>5</v>
      </c>
      <c r="AJ122" t="s">
        <v>13</v>
      </c>
      <c r="AK122" s="50" t="s">
        <v>7</v>
      </c>
      <c r="AL122" s="49" t="s">
        <v>492</v>
      </c>
      <c r="AM122" s="50" t="s">
        <v>7</v>
      </c>
      <c r="AN122" s="52" t="s">
        <v>1081</v>
      </c>
      <c r="AO122">
        <v>5000</v>
      </c>
      <c r="AR122" t="s">
        <v>26</v>
      </c>
      <c r="AT122" t="s">
        <v>23</v>
      </c>
      <c r="AU122" t="s">
        <v>23</v>
      </c>
      <c r="AV122" t="s">
        <v>224</v>
      </c>
      <c r="AW122" t="s">
        <v>224</v>
      </c>
      <c r="AX122" t="s">
        <v>224</v>
      </c>
      <c r="AY122" t="s">
        <v>224</v>
      </c>
      <c r="AZ122">
        <v>9</v>
      </c>
      <c r="BA122">
        <v>9</v>
      </c>
      <c r="BB122">
        <v>9</v>
      </c>
      <c r="BC122">
        <v>9</v>
      </c>
      <c r="BD122">
        <v>0</v>
      </c>
      <c r="BE122">
        <v>0</v>
      </c>
      <c r="BF122">
        <v>0</v>
      </c>
      <c r="BG122">
        <v>0</v>
      </c>
      <c r="BH122" s="25">
        <v>121</v>
      </c>
      <c r="BI122" s="25">
        <v>106</v>
      </c>
      <c r="BJ122" s="25">
        <v>93</v>
      </c>
      <c r="BK122" s="25">
        <v>92</v>
      </c>
      <c r="BL122" s="25">
        <v>90</v>
      </c>
      <c r="BM122" s="25">
        <v>3</v>
      </c>
      <c r="BN122" s="27">
        <v>3</v>
      </c>
      <c r="BO122" s="27">
        <v>3</v>
      </c>
      <c r="BP122" s="27">
        <v>3</v>
      </c>
      <c r="BQ122" s="27">
        <v>3</v>
      </c>
    </row>
    <row r="123" spans="1:80" x14ac:dyDescent="0.3">
      <c r="A123" s="6">
        <v>3220</v>
      </c>
      <c r="B123" t="str">
        <f t="shared" si="37"/>
        <v>Saturday</v>
      </c>
      <c r="C123">
        <f t="shared" ref="C123" si="58">A123-A122</f>
        <v>9</v>
      </c>
      <c r="D123" s="9">
        <f t="shared" ref="D123" si="59">A123-A122</f>
        <v>9</v>
      </c>
      <c r="E123" s="17">
        <f t="shared" ref="E123" si="60">A123-A122</f>
        <v>9</v>
      </c>
      <c r="F123" s="9">
        <f t="shared" ref="F123" si="61">A123-A122</f>
        <v>9</v>
      </c>
      <c r="G123" s="9">
        <f t="shared" ref="G123" si="62">A123-A122</f>
        <v>9</v>
      </c>
      <c r="H123" s="25"/>
      <c r="I123" s="58" t="s">
        <v>7</v>
      </c>
      <c r="J123" s="58" t="s">
        <v>7</v>
      </c>
      <c r="K123" s="59" t="s">
        <v>7</v>
      </c>
      <c r="L123" s="59" t="s">
        <v>7</v>
      </c>
      <c r="M123" t="s">
        <v>7</v>
      </c>
      <c r="N123" t="s">
        <v>19</v>
      </c>
      <c r="O123" t="s">
        <v>957</v>
      </c>
      <c r="P123" s="7" t="s">
        <v>37</v>
      </c>
      <c r="Q123" t="s">
        <v>189</v>
      </c>
      <c r="R123" t="s">
        <v>190</v>
      </c>
      <c r="S123" t="s">
        <v>736</v>
      </c>
      <c r="T123" t="s">
        <v>1010</v>
      </c>
      <c r="U123" t="s">
        <v>23</v>
      </c>
      <c r="V123">
        <v>2</v>
      </c>
      <c r="W123">
        <v>1</v>
      </c>
      <c r="X123">
        <v>0</v>
      </c>
      <c r="Y123">
        <v>5</v>
      </c>
      <c r="Z123">
        <v>2</v>
      </c>
      <c r="AA123">
        <v>0</v>
      </c>
      <c r="AB123" t="s">
        <v>7</v>
      </c>
      <c r="AC123" t="s">
        <v>7</v>
      </c>
      <c r="AD123" t="s">
        <v>250</v>
      </c>
      <c r="AE123" t="s">
        <v>43</v>
      </c>
      <c r="AF123" s="7" t="str">
        <f t="shared" si="25"/>
        <v>N</v>
      </c>
      <c r="AG123" t="s">
        <v>7</v>
      </c>
      <c r="AH123" t="s">
        <v>7</v>
      </c>
      <c r="AI123" t="s">
        <v>7</v>
      </c>
      <c r="AJ123" t="s">
        <v>7</v>
      </c>
      <c r="AK123" s="50" t="s">
        <v>7</v>
      </c>
      <c r="AL123" s="49" t="s">
        <v>7</v>
      </c>
      <c r="AM123" s="50" t="s">
        <v>7</v>
      </c>
      <c r="AN123" s="52" t="s">
        <v>7</v>
      </c>
      <c r="AO123" t="s">
        <v>7</v>
      </c>
      <c r="AS123" t="s">
        <v>1173</v>
      </c>
      <c r="AT123" s="26" t="s">
        <v>28</v>
      </c>
      <c r="AU123" t="s">
        <v>28</v>
      </c>
      <c r="BH123" s="25">
        <v>122</v>
      </c>
      <c r="BM123" s="25">
        <v>4</v>
      </c>
    </row>
    <row r="124" spans="1:80" x14ac:dyDescent="0.3">
      <c r="A124" s="6">
        <v>3227</v>
      </c>
      <c r="B124" t="str">
        <f t="shared" si="37"/>
        <v>Saturday</v>
      </c>
      <c r="C124">
        <f>$A124-$A122</f>
        <v>16</v>
      </c>
      <c r="D124">
        <f t="shared" ref="D124:G124" si="63">$A124-$A122</f>
        <v>16</v>
      </c>
      <c r="E124">
        <f t="shared" si="63"/>
        <v>16</v>
      </c>
      <c r="F124">
        <f t="shared" si="63"/>
        <v>16</v>
      </c>
      <c r="G124">
        <f t="shared" si="63"/>
        <v>16</v>
      </c>
      <c r="H124" s="1">
        <v>0.65625</v>
      </c>
      <c r="I124" s="65">
        <v>25</v>
      </c>
      <c r="J124" s="65">
        <v>20</v>
      </c>
      <c r="K124" s="59" t="s">
        <v>7</v>
      </c>
      <c r="L124" s="59" t="s">
        <v>7</v>
      </c>
      <c r="M124">
        <v>45</v>
      </c>
      <c r="N124" t="s">
        <v>19</v>
      </c>
      <c r="O124" t="s">
        <v>957</v>
      </c>
      <c r="P124" s="7" t="s">
        <v>28</v>
      </c>
      <c r="Q124" t="s">
        <v>181</v>
      </c>
      <c r="R124" t="s">
        <v>183</v>
      </c>
      <c r="S124" t="s">
        <v>19</v>
      </c>
      <c r="T124" s="44" t="s">
        <v>1174</v>
      </c>
      <c r="U124" t="s">
        <v>23</v>
      </c>
      <c r="V124">
        <v>4</v>
      </c>
      <c r="W124">
        <v>0</v>
      </c>
      <c r="X124">
        <v>1</v>
      </c>
      <c r="Y124">
        <v>7</v>
      </c>
      <c r="Z124">
        <v>0</v>
      </c>
      <c r="AA124">
        <v>1</v>
      </c>
      <c r="AB124" t="s">
        <v>7</v>
      </c>
      <c r="AC124" t="s">
        <v>7</v>
      </c>
      <c r="AD124" t="s">
        <v>915</v>
      </c>
      <c r="AE124" t="s">
        <v>916</v>
      </c>
      <c r="AF124" s="7" t="str">
        <f t="shared" si="25"/>
        <v>N</v>
      </c>
      <c r="AG124">
        <v>0</v>
      </c>
      <c r="AH124">
        <v>6</v>
      </c>
      <c r="AI124">
        <f>AG124-AH124</f>
        <v>-6</v>
      </c>
      <c r="AJ124" t="s">
        <v>47</v>
      </c>
      <c r="AK124" s="50" t="s">
        <v>7</v>
      </c>
      <c r="AL124" s="49" t="s">
        <v>253</v>
      </c>
      <c r="AM124" s="50" t="s">
        <v>7</v>
      </c>
      <c r="AN124" s="52" t="s">
        <v>1046</v>
      </c>
      <c r="AO124" s="25">
        <v>5500</v>
      </c>
      <c r="AP124" s="60">
        <v>3000</v>
      </c>
      <c r="AQ124" s="60">
        <v>8000</v>
      </c>
      <c r="AS124" s="22" t="s">
        <v>1180</v>
      </c>
      <c r="AT124" t="s">
        <v>23</v>
      </c>
      <c r="AU124" t="s">
        <v>23</v>
      </c>
      <c r="AV124" t="s">
        <v>225</v>
      </c>
      <c r="AW124" t="s">
        <v>225</v>
      </c>
      <c r="AX124" t="s">
        <v>225</v>
      </c>
      <c r="AY124" t="s">
        <v>225</v>
      </c>
      <c r="AZ124">
        <v>10</v>
      </c>
      <c r="BA124">
        <v>10</v>
      </c>
      <c r="BB124">
        <v>10</v>
      </c>
      <c r="BC124">
        <v>10</v>
      </c>
      <c r="BD124">
        <v>0</v>
      </c>
      <c r="BE124">
        <v>0</v>
      </c>
      <c r="BF124">
        <v>0</v>
      </c>
      <c r="BG124">
        <v>0</v>
      </c>
      <c r="BH124" s="25">
        <v>123</v>
      </c>
      <c r="BI124" s="25">
        <v>107</v>
      </c>
      <c r="BJ124" s="25">
        <v>94</v>
      </c>
      <c r="BK124" s="25">
        <v>93</v>
      </c>
      <c r="BL124" s="25">
        <v>91</v>
      </c>
      <c r="BM124" s="25">
        <v>5</v>
      </c>
      <c r="BN124" s="27">
        <v>4</v>
      </c>
      <c r="BO124" s="27">
        <v>4</v>
      </c>
      <c r="BP124" s="27">
        <v>4</v>
      </c>
      <c r="BQ124" s="27">
        <v>4</v>
      </c>
    </row>
    <row r="125" spans="1:80" x14ac:dyDescent="0.3">
      <c r="A125" s="6">
        <v>3234</v>
      </c>
      <c r="B125" t="str">
        <f t="shared" si="37"/>
        <v>Saturday</v>
      </c>
      <c r="C125">
        <f>$A125-$A124</f>
        <v>7</v>
      </c>
      <c r="D125">
        <f t="shared" ref="D125:G126" si="64">$A125-$A124</f>
        <v>7</v>
      </c>
      <c r="E125">
        <f t="shared" si="64"/>
        <v>7</v>
      </c>
      <c r="F125">
        <f t="shared" si="64"/>
        <v>7</v>
      </c>
      <c r="G125">
        <f t="shared" si="64"/>
        <v>7</v>
      </c>
      <c r="H125" s="1">
        <v>0.65277777777777779</v>
      </c>
      <c r="I125" s="65">
        <v>30</v>
      </c>
      <c r="J125" s="65">
        <v>25</v>
      </c>
      <c r="K125" s="59" t="s">
        <v>7</v>
      </c>
      <c r="L125" s="59" t="s">
        <v>7</v>
      </c>
      <c r="M125">
        <v>55</v>
      </c>
      <c r="N125" t="s">
        <v>19</v>
      </c>
      <c r="O125" t="s">
        <v>957</v>
      </c>
      <c r="P125" s="7" t="s">
        <v>28</v>
      </c>
      <c r="Q125" t="s">
        <v>112</v>
      </c>
      <c r="R125" t="s">
        <v>113</v>
      </c>
      <c r="S125" t="s">
        <v>19</v>
      </c>
      <c r="T125" t="s">
        <v>1181</v>
      </c>
      <c r="U125" t="s">
        <v>23</v>
      </c>
      <c r="V125">
        <v>4</v>
      </c>
      <c r="W125">
        <v>1</v>
      </c>
      <c r="X125">
        <v>1</v>
      </c>
      <c r="Y125">
        <v>5</v>
      </c>
      <c r="Z125">
        <v>2</v>
      </c>
      <c r="AA125">
        <v>2</v>
      </c>
      <c r="AB125" t="s">
        <v>7</v>
      </c>
      <c r="AC125" t="s">
        <v>7</v>
      </c>
      <c r="AD125" t="s">
        <v>101</v>
      </c>
      <c r="AE125" t="s">
        <v>100</v>
      </c>
      <c r="AF125" s="7" t="str">
        <f t="shared" si="25"/>
        <v>N</v>
      </c>
      <c r="AG125">
        <v>21</v>
      </c>
      <c r="AH125">
        <v>0</v>
      </c>
      <c r="AI125">
        <f>AG125-AH125</f>
        <v>21</v>
      </c>
      <c r="AJ125" t="s">
        <v>13</v>
      </c>
      <c r="AK125" s="50" t="s">
        <v>7</v>
      </c>
      <c r="AL125" s="49" t="s">
        <v>1032</v>
      </c>
      <c r="AM125" s="50" t="s">
        <v>7</v>
      </c>
      <c r="AN125" s="52" t="s">
        <v>1192</v>
      </c>
      <c r="AO125" s="25">
        <v>1500</v>
      </c>
      <c r="AT125" t="s">
        <v>23</v>
      </c>
      <c r="AU125" t="s">
        <v>23</v>
      </c>
      <c r="AV125" t="s">
        <v>222</v>
      </c>
      <c r="AW125" t="s">
        <v>222</v>
      </c>
      <c r="AX125" t="s">
        <v>222</v>
      </c>
      <c r="AY125" t="s">
        <v>222</v>
      </c>
      <c r="AZ125">
        <v>0</v>
      </c>
      <c r="BA125">
        <v>0</v>
      </c>
      <c r="BB125">
        <v>0</v>
      </c>
      <c r="BC125">
        <v>0</v>
      </c>
      <c r="BD125">
        <v>1</v>
      </c>
      <c r="BE125">
        <v>1</v>
      </c>
      <c r="BF125">
        <v>1</v>
      </c>
      <c r="BG125">
        <v>1</v>
      </c>
      <c r="BH125" s="25">
        <v>124</v>
      </c>
      <c r="BI125" s="25">
        <v>108</v>
      </c>
      <c r="BJ125" s="25">
        <v>95</v>
      </c>
      <c r="BK125" s="25">
        <v>94</v>
      </c>
      <c r="BL125" s="25">
        <v>92</v>
      </c>
      <c r="BM125" s="25">
        <v>6</v>
      </c>
      <c r="BN125" s="27">
        <v>5</v>
      </c>
      <c r="BO125" s="27">
        <v>5</v>
      </c>
      <c r="BP125" s="27">
        <v>5</v>
      </c>
      <c r="BQ125" s="27">
        <v>5</v>
      </c>
    </row>
    <row r="126" spans="1:80" x14ac:dyDescent="0.3">
      <c r="A126" s="6">
        <v>3241</v>
      </c>
      <c r="B126" t="str">
        <f t="shared" si="37"/>
        <v>Saturday</v>
      </c>
      <c r="C126">
        <f>$A126-$A125</f>
        <v>7</v>
      </c>
      <c r="D126">
        <f t="shared" si="64"/>
        <v>7</v>
      </c>
      <c r="E126">
        <f t="shared" si="64"/>
        <v>7</v>
      </c>
      <c r="F126">
        <f t="shared" si="64"/>
        <v>7</v>
      </c>
      <c r="G126">
        <f t="shared" si="64"/>
        <v>7</v>
      </c>
      <c r="I126" s="58" t="s">
        <v>7</v>
      </c>
      <c r="J126" s="58" t="s">
        <v>7</v>
      </c>
      <c r="K126" s="59" t="s">
        <v>7</v>
      </c>
      <c r="L126" s="59" t="s">
        <v>7</v>
      </c>
      <c r="M126" s="58" t="s">
        <v>7</v>
      </c>
      <c r="N126" s="58" t="s">
        <v>19</v>
      </c>
      <c r="O126" s="58" t="s">
        <v>957</v>
      </c>
      <c r="P126" s="7" t="s">
        <v>38</v>
      </c>
      <c r="Q126" s="58" t="s">
        <v>175</v>
      </c>
      <c r="R126" s="58" t="s">
        <v>94</v>
      </c>
      <c r="S126" s="58" t="s">
        <v>19</v>
      </c>
      <c r="T126" s="58" t="s">
        <v>986</v>
      </c>
      <c r="U126" s="58" t="s">
        <v>23</v>
      </c>
      <c r="V126">
        <v>3</v>
      </c>
      <c r="W126">
        <v>2</v>
      </c>
      <c r="X126">
        <v>1</v>
      </c>
      <c r="Y126">
        <v>5</v>
      </c>
      <c r="Z126">
        <v>2</v>
      </c>
      <c r="AA126">
        <v>1</v>
      </c>
      <c r="AB126" t="s">
        <v>7</v>
      </c>
      <c r="AC126" t="s">
        <v>7</v>
      </c>
      <c r="AD126" t="s">
        <v>870</v>
      </c>
      <c r="AE126" t="s">
        <v>94</v>
      </c>
      <c r="AF126" s="7" t="str">
        <f t="shared" si="25"/>
        <v>N</v>
      </c>
      <c r="AG126" t="s">
        <v>7</v>
      </c>
      <c r="AH126" t="s">
        <v>7</v>
      </c>
      <c r="AI126" t="s">
        <v>7</v>
      </c>
      <c r="AJ126" t="s">
        <v>7</v>
      </c>
      <c r="AK126" s="50" t="s">
        <v>7</v>
      </c>
      <c r="AL126" s="49" t="s">
        <v>7</v>
      </c>
      <c r="AM126" s="50" t="s">
        <v>7</v>
      </c>
      <c r="AN126" s="52" t="s">
        <v>7</v>
      </c>
      <c r="AO126" t="s">
        <v>7</v>
      </c>
      <c r="AS126" t="s">
        <v>1205</v>
      </c>
      <c r="AT126" s="26" t="s">
        <v>28</v>
      </c>
      <c r="AU126" t="s">
        <v>28</v>
      </c>
      <c r="BH126" s="25">
        <v>125</v>
      </c>
      <c r="BM126" s="25">
        <v>7</v>
      </c>
    </row>
    <row r="127" spans="1:80" x14ac:dyDescent="0.3">
      <c r="A127" s="6">
        <v>3248</v>
      </c>
      <c r="B127" t="str">
        <f t="shared" si="37"/>
        <v>Saturday</v>
      </c>
      <c r="C127">
        <f>A127-A126</f>
        <v>7</v>
      </c>
      <c r="D127" s="9">
        <f>A127-A125</f>
        <v>14</v>
      </c>
      <c r="E127" s="17">
        <f>A127-A125</f>
        <v>14</v>
      </c>
      <c r="F127" s="9">
        <f>A127-A125</f>
        <v>14</v>
      </c>
      <c r="G127" s="9">
        <f>A127-A125</f>
        <v>14</v>
      </c>
      <c r="H127" s="1">
        <v>0.64583333333333337</v>
      </c>
      <c r="I127" s="58">
        <v>25</v>
      </c>
      <c r="J127" s="58">
        <v>25</v>
      </c>
      <c r="K127" s="59" t="s">
        <v>7</v>
      </c>
      <c r="L127" s="59" t="s">
        <v>7</v>
      </c>
      <c r="M127" s="58">
        <v>50</v>
      </c>
      <c r="N127" s="58" t="s">
        <v>19</v>
      </c>
      <c r="O127" s="58" t="s">
        <v>957</v>
      </c>
      <c r="P127" s="7" t="s">
        <v>37</v>
      </c>
      <c r="Q127" s="58" t="s">
        <v>32</v>
      </c>
      <c r="R127" s="58" t="s">
        <v>44</v>
      </c>
      <c r="S127" s="58" t="s">
        <v>19</v>
      </c>
      <c r="T127" s="58" t="s">
        <v>1123</v>
      </c>
      <c r="U127" s="58" t="s">
        <v>23</v>
      </c>
      <c r="V127">
        <v>1</v>
      </c>
      <c r="W127">
        <v>4</v>
      </c>
      <c r="X127">
        <v>0</v>
      </c>
      <c r="Y127">
        <v>1</v>
      </c>
      <c r="Z127">
        <v>5</v>
      </c>
      <c r="AA127">
        <v>0</v>
      </c>
      <c r="AB127" t="s">
        <v>7</v>
      </c>
      <c r="AC127" t="s">
        <v>7</v>
      </c>
      <c r="AD127" t="s">
        <v>250</v>
      </c>
      <c r="AE127" t="s">
        <v>43</v>
      </c>
      <c r="AF127" s="7" t="str">
        <f t="shared" si="25"/>
        <v>N</v>
      </c>
      <c r="AG127">
        <v>76</v>
      </c>
      <c r="AH127">
        <v>0</v>
      </c>
      <c r="AI127">
        <f t="shared" ref="AI127" si="65">AG127-AH127</f>
        <v>76</v>
      </c>
      <c r="AJ127" t="s">
        <v>13</v>
      </c>
      <c r="AK127" s="50" t="s">
        <v>7</v>
      </c>
      <c r="AL127" s="51" t="s">
        <v>959</v>
      </c>
      <c r="AM127" s="50" t="s">
        <v>7</v>
      </c>
      <c r="AN127" s="51" t="s">
        <v>1059</v>
      </c>
      <c r="AO127">
        <v>500</v>
      </c>
      <c r="AT127" t="s">
        <v>23</v>
      </c>
      <c r="AU127" t="s">
        <v>23</v>
      </c>
      <c r="AV127" t="s">
        <v>221</v>
      </c>
      <c r="AW127" t="s">
        <v>221</v>
      </c>
      <c r="AX127" t="s">
        <v>221</v>
      </c>
      <c r="AY127" t="s">
        <v>221</v>
      </c>
      <c r="AZ127">
        <v>1</v>
      </c>
      <c r="BA127">
        <v>1</v>
      </c>
      <c r="BB127">
        <v>1</v>
      </c>
      <c r="BC127">
        <v>1</v>
      </c>
      <c r="BD127">
        <v>0</v>
      </c>
      <c r="BE127">
        <v>0</v>
      </c>
      <c r="BF127">
        <v>0</v>
      </c>
      <c r="BG127">
        <v>0</v>
      </c>
      <c r="BH127" s="25">
        <v>126</v>
      </c>
      <c r="BI127" s="25">
        <v>109</v>
      </c>
      <c r="BJ127" s="25">
        <v>96</v>
      </c>
      <c r="BK127" s="25">
        <v>95</v>
      </c>
      <c r="BL127" s="25">
        <v>93</v>
      </c>
      <c r="BM127" s="25">
        <v>8</v>
      </c>
      <c r="BN127" s="27">
        <v>6</v>
      </c>
      <c r="BO127" s="27">
        <v>6</v>
      </c>
      <c r="BP127" s="27">
        <v>6</v>
      </c>
      <c r="BQ127" s="27">
        <v>6</v>
      </c>
    </row>
    <row r="128" spans="1:80" x14ac:dyDescent="0.3">
      <c r="A128" s="6">
        <v>3253</v>
      </c>
      <c r="B128" t="str">
        <f t="shared" si="37"/>
        <v>Thursday</v>
      </c>
      <c r="C128">
        <f t="shared" ref="C128:C135" si="66">$A128-$A127</f>
        <v>5</v>
      </c>
      <c r="D128">
        <f t="shared" ref="D128:G135" si="67">$A128-$A127</f>
        <v>5</v>
      </c>
      <c r="E128">
        <f t="shared" si="67"/>
        <v>5</v>
      </c>
      <c r="F128">
        <f t="shared" si="67"/>
        <v>5</v>
      </c>
      <c r="G128">
        <f t="shared" si="67"/>
        <v>5</v>
      </c>
      <c r="H128" s="1">
        <v>0.63888888888888895</v>
      </c>
      <c r="I128" s="62">
        <v>35</v>
      </c>
      <c r="J128" s="62">
        <v>30</v>
      </c>
      <c r="K128" s="59" t="s">
        <v>7</v>
      </c>
      <c r="L128" s="59" t="s">
        <v>7</v>
      </c>
      <c r="M128" s="62">
        <v>65</v>
      </c>
      <c r="N128" s="58" t="s">
        <v>19</v>
      </c>
      <c r="O128" s="58" t="s">
        <v>957</v>
      </c>
      <c r="P128" s="7" t="s">
        <v>28</v>
      </c>
      <c r="Q128" s="58" t="s">
        <v>900</v>
      </c>
      <c r="R128" s="58" t="s">
        <v>145</v>
      </c>
      <c r="S128" s="58" t="s">
        <v>19</v>
      </c>
      <c r="T128" s="58" t="s">
        <v>1207</v>
      </c>
      <c r="U128" s="58" t="s">
        <v>23</v>
      </c>
      <c r="V128">
        <v>5</v>
      </c>
      <c r="W128">
        <v>3</v>
      </c>
      <c r="X128">
        <v>0</v>
      </c>
      <c r="Y128">
        <v>5</v>
      </c>
      <c r="Z128">
        <v>4</v>
      </c>
      <c r="AA128">
        <v>0</v>
      </c>
      <c r="AB128" t="s">
        <v>7</v>
      </c>
      <c r="AC128" t="s">
        <v>7</v>
      </c>
      <c r="AD128" t="s">
        <v>915</v>
      </c>
      <c r="AE128" t="s">
        <v>916</v>
      </c>
      <c r="AF128" s="7" t="str">
        <f t="shared" si="25"/>
        <v>N</v>
      </c>
      <c r="AG128">
        <v>6</v>
      </c>
      <c r="AH128">
        <v>5</v>
      </c>
      <c r="AI128">
        <f t="shared" ref="AI128:AI138" si="68">AG128-AH128</f>
        <v>1</v>
      </c>
      <c r="AJ128" t="s">
        <v>13</v>
      </c>
      <c r="AK128" s="50" t="s">
        <v>7</v>
      </c>
      <c r="AL128" s="49" t="s">
        <v>253</v>
      </c>
      <c r="AM128" s="50" t="s">
        <v>7</v>
      </c>
      <c r="AN128" s="52" t="s">
        <v>1072</v>
      </c>
      <c r="AO128">
        <f>(8000+12000+5000+5000+12000)/5</f>
        <v>8400</v>
      </c>
      <c r="AP128" s="60">
        <v>5000</v>
      </c>
      <c r="AQ128" s="60">
        <v>12000</v>
      </c>
      <c r="AR128" t="s">
        <v>59</v>
      </c>
      <c r="AT128" t="s">
        <v>23</v>
      </c>
      <c r="AU128" t="s">
        <v>23</v>
      </c>
      <c r="AV128" t="s">
        <v>223</v>
      </c>
      <c r="AW128" t="s">
        <v>223</v>
      </c>
      <c r="AX128" t="s">
        <v>223</v>
      </c>
      <c r="AY128" t="s">
        <v>223</v>
      </c>
      <c r="AZ128">
        <v>2</v>
      </c>
      <c r="BA128">
        <v>2</v>
      </c>
      <c r="BB128">
        <v>2</v>
      </c>
      <c r="BC128">
        <v>2</v>
      </c>
      <c r="BD128">
        <v>0</v>
      </c>
      <c r="BE128">
        <v>0</v>
      </c>
      <c r="BF128">
        <v>0</v>
      </c>
      <c r="BG128">
        <v>0</v>
      </c>
      <c r="BH128" s="25">
        <v>127</v>
      </c>
      <c r="BI128" s="25">
        <v>110</v>
      </c>
      <c r="BJ128" s="25">
        <v>97</v>
      </c>
      <c r="BK128" s="25">
        <v>96</v>
      </c>
      <c r="BL128" s="25">
        <v>94</v>
      </c>
      <c r="BM128" s="25">
        <v>9</v>
      </c>
      <c r="BN128" s="27">
        <v>7</v>
      </c>
      <c r="BO128" s="27">
        <v>7</v>
      </c>
      <c r="BP128" s="27">
        <v>7</v>
      </c>
      <c r="BQ128" s="27">
        <v>7</v>
      </c>
      <c r="BR128" s="27" t="s">
        <v>23</v>
      </c>
      <c r="BS128" s="27" t="s">
        <v>23</v>
      </c>
      <c r="BT128" s="71" t="s">
        <v>23</v>
      </c>
      <c r="BU128" s="71" t="s">
        <v>23</v>
      </c>
      <c r="BY128" s="71" t="s">
        <v>23</v>
      </c>
      <c r="BZ128" s="7" t="s">
        <v>23</v>
      </c>
      <c r="CA128" s="7" t="s">
        <v>23</v>
      </c>
      <c r="CB128" s="7" t="s">
        <v>23</v>
      </c>
    </row>
    <row r="129" spans="1:80" x14ac:dyDescent="0.3">
      <c r="A129" s="6">
        <v>3563</v>
      </c>
      <c r="B129" t="str">
        <f t="shared" ref="B129:B138" si="69">CHOOSE(WEEKDAY(A129),"Sunday","Monday","Tuesday","Wednesday","Thursday","Friday","Saturday")</f>
        <v>Saturday</v>
      </c>
      <c r="C129">
        <f t="shared" si="66"/>
        <v>310</v>
      </c>
      <c r="D129">
        <f t="shared" si="67"/>
        <v>310</v>
      </c>
      <c r="E129">
        <f t="shared" si="67"/>
        <v>310</v>
      </c>
      <c r="F129">
        <f t="shared" si="67"/>
        <v>310</v>
      </c>
      <c r="G129">
        <f t="shared" si="67"/>
        <v>310</v>
      </c>
      <c r="H129" s="1">
        <v>0.65972222222222221</v>
      </c>
      <c r="I129" s="60">
        <v>17.5</v>
      </c>
      <c r="J129" s="60">
        <v>17.5</v>
      </c>
      <c r="K129" s="59" t="s">
        <v>7</v>
      </c>
      <c r="L129" s="59" t="s">
        <v>7</v>
      </c>
      <c r="M129" s="58">
        <v>35</v>
      </c>
      <c r="N129" s="58" t="s">
        <v>19</v>
      </c>
      <c r="O129" s="58" t="s">
        <v>1230</v>
      </c>
      <c r="P129" s="7" t="s">
        <v>37</v>
      </c>
      <c r="Q129" s="58" t="s">
        <v>316</v>
      </c>
      <c r="R129" s="58" t="s">
        <v>1231</v>
      </c>
      <c r="S129" s="58" t="s">
        <v>19</v>
      </c>
      <c r="T129" s="58" t="s">
        <v>1233</v>
      </c>
      <c r="U129" s="58" t="s">
        <v>23</v>
      </c>
      <c r="V129">
        <v>0</v>
      </c>
      <c r="W129">
        <v>1</v>
      </c>
      <c r="X129">
        <v>0</v>
      </c>
      <c r="Y129">
        <v>3</v>
      </c>
      <c r="Z129">
        <v>5</v>
      </c>
      <c r="AA129">
        <v>0</v>
      </c>
      <c r="AB129" t="s">
        <v>7</v>
      </c>
      <c r="AC129" t="s">
        <v>7</v>
      </c>
      <c r="AD129" s="25" t="s">
        <v>250</v>
      </c>
      <c r="AE129" t="s">
        <v>43</v>
      </c>
      <c r="AF129" s="7" t="str">
        <f t="shared" si="25"/>
        <v>N</v>
      </c>
      <c r="AG129">
        <v>39</v>
      </c>
      <c r="AH129">
        <v>0</v>
      </c>
      <c r="AI129">
        <f t="shared" si="68"/>
        <v>39</v>
      </c>
      <c r="AJ129" t="s">
        <v>13</v>
      </c>
      <c r="AK129" s="50" t="s">
        <v>7</v>
      </c>
      <c r="AL129" s="49" t="s">
        <v>1282</v>
      </c>
      <c r="AM129" s="50" t="s">
        <v>7</v>
      </c>
      <c r="AN129" s="52" t="s">
        <v>1243</v>
      </c>
      <c r="AT129" t="s">
        <v>23</v>
      </c>
      <c r="AU129" t="s">
        <v>23</v>
      </c>
      <c r="AV129" t="s">
        <v>224</v>
      </c>
      <c r="AW129" t="s">
        <v>224</v>
      </c>
      <c r="AX129" t="s">
        <v>224</v>
      </c>
      <c r="AY129" t="s">
        <v>224</v>
      </c>
      <c r="AZ129">
        <v>3</v>
      </c>
      <c r="BA129">
        <v>3</v>
      </c>
      <c r="BB129">
        <v>3</v>
      </c>
      <c r="BC129">
        <v>3</v>
      </c>
      <c r="BD129">
        <v>0</v>
      </c>
      <c r="BE129">
        <v>0</v>
      </c>
      <c r="BF129">
        <v>0</v>
      </c>
      <c r="BG129">
        <v>0</v>
      </c>
      <c r="BH129" s="25">
        <v>128</v>
      </c>
      <c r="BI129" s="25">
        <v>111</v>
      </c>
      <c r="BJ129" s="25">
        <v>98</v>
      </c>
      <c r="BK129" s="25">
        <v>97</v>
      </c>
      <c r="BL129" s="25">
        <v>95</v>
      </c>
      <c r="BM129" s="25">
        <v>1</v>
      </c>
      <c r="BN129" s="27">
        <v>1</v>
      </c>
      <c r="BO129" s="27">
        <v>1</v>
      </c>
      <c r="BP129" s="27">
        <v>1</v>
      </c>
      <c r="BQ129" s="27">
        <v>1</v>
      </c>
    </row>
    <row r="130" spans="1:80" x14ac:dyDescent="0.3">
      <c r="A130" s="6">
        <v>3570</v>
      </c>
      <c r="B130" t="str">
        <f t="shared" si="69"/>
        <v>Saturday</v>
      </c>
      <c r="C130">
        <f t="shared" si="66"/>
        <v>7</v>
      </c>
      <c r="D130">
        <f t="shared" si="67"/>
        <v>7</v>
      </c>
      <c r="E130">
        <f t="shared" si="67"/>
        <v>7</v>
      </c>
      <c r="F130">
        <f t="shared" si="67"/>
        <v>7</v>
      </c>
      <c r="G130">
        <f t="shared" si="67"/>
        <v>7</v>
      </c>
      <c r="I130" s="58">
        <v>20</v>
      </c>
      <c r="J130" s="58">
        <v>20</v>
      </c>
      <c r="K130" s="59" t="s">
        <v>7</v>
      </c>
      <c r="L130" s="59" t="s">
        <v>7</v>
      </c>
      <c r="M130" s="58">
        <v>40</v>
      </c>
      <c r="N130" s="58" t="s">
        <v>19</v>
      </c>
      <c r="O130" s="58" t="s">
        <v>1230</v>
      </c>
      <c r="P130" s="7" t="s">
        <v>28</v>
      </c>
      <c r="Q130" s="58" t="s">
        <v>1244</v>
      </c>
      <c r="R130" s="58" t="s">
        <v>127</v>
      </c>
      <c r="S130" s="58" t="s">
        <v>19</v>
      </c>
      <c r="T130" s="58" t="s">
        <v>1254</v>
      </c>
      <c r="U130" s="58" t="s">
        <v>1256</v>
      </c>
      <c r="V130">
        <v>1</v>
      </c>
      <c r="W130">
        <v>0</v>
      </c>
      <c r="X130">
        <v>0</v>
      </c>
      <c r="Y130">
        <v>3</v>
      </c>
      <c r="Z130">
        <v>1</v>
      </c>
      <c r="AA130">
        <v>0</v>
      </c>
      <c r="AB130" t="s">
        <v>7</v>
      </c>
      <c r="AC130" t="s">
        <v>7</v>
      </c>
      <c r="AD130" s="25" t="s">
        <v>915</v>
      </c>
      <c r="AE130" s="25" t="s">
        <v>916</v>
      </c>
      <c r="AF130" s="7" t="str">
        <f t="shared" si="25"/>
        <v>N</v>
      </c>
      <c r="AG130">
        <v>12</v>
      </c>
      <c r="AH130">
        <v>0</v>
      </c>
      <c r="AI130">
        <f t="shared" si="68"/>
        <v>12</v>
      </c>
      <c r="AJ130" t="s">
        <v>13</v>
      </c>
      <c r="AK130" s="50" t="s">
        <v>7</v>
      </c>
      <c r="AL130" s="49" t="s">
        <v>253</v>
      </c>
      <c r="AM130" s="50" t="s">
        <v>7</v>
      </c>
      <c r="AN130" s="52" t="s">
        <v>1255</v>
      </c>
      <c r="AT130" t="s">
        <v>23</v>
      </c>
      <c r="AU130" t="s">
        <v>23</v>
      </c>
      <c r="AV130" t="s">
        <v>225</v>
      </c>
      <c r="AW130" t="s">
        <v>225</v>
      </c>
      <c r="AX130" t="s">
        <v>225</v>
      </c>
      <c r="AY130" t="s">
        <v>225</v>
      </c>
      <c r="AZ130">
        <v>4</v>
      </c>
      <c r="BA130">
        <v>4</v>
      </c>
      <c r="BB130">
        <v>4</v>
      </c>
      <c r="BC130">
        <v>4</v>
      </c>
      <c r="BD130">
        <v>0</v>
      </c>
      <c r="BE130">
        <v>0</v>
      </c>
      <c r="BF130">
        <v>0</v>
      </c>
      <c r="BG130">
        <v>0</v>
      </c>
      <c r="BH130" s="25">
        <v>129</v>
      </c>
      <c r="BI130" s="25">
        <v>112</v>
      </c>
      <c r="BJ130" s="25">
        <v>99</v>
      </c>
      <c r="BK130" s="25">
        <v>98</v>
      </c>
      <c r="BL130" s="25">
        <v>96</v>
      </c>
      <c r="BM130" s="25">
        <v>2</v>
      </c>
      <c r="BN130" s="27">
        <v>2</v>
      </c>
      <c r="BO130" s="27">
        <v>2</v>
      </c>
      <c r="BP130" s="27">
        <v>2</v>
      </c>
      <c r="BQ130" s="27">
        <v>2</v>
      </c>
    </row>
    <row r="131" spans="1:80" x14ac:dyDescent="0.3">
      <c r="A131" s="6">
        <v>3582</v>
      </c>
      <c r="B131" t="str">
        <f t="shared" si="69"/>
        <v>Thursday</v>
      </c>
      <c r="C131">
        <f t="shared" si="66"/>
        <v>12</v>
      </c>
      <c r="D131">
        <f t="shared" si="67"/>
        <v>12</v>
      </c>
      <c r="E131">
        <f t="shared" si="67"/>
        <v>12</v>
      </c>
      <c r="F131">
        <f t="shared" si="67"/>
        <v>12</v>
      </c>
      <c r="G131">
        <f t="shared" si="67"/>
        <v>12</v>
      </c>
      <c r="H131" s="1">
        <v>0.66666666666666663</v>
      </c>
      <c r="I131" s="58">
        <v>25</v>
      </c>
      <c r="J131" s="58">
        <v>25</v>
      </c>
      <c r="K131" s="59" t="s">
        <v>7</v>
      </c>
      <c r="L131" s="59" t="s">
        <v>7</v>
      </c>
      <c r="M131" s="58">
        <v>50</v>
      </c>
      <c r="N131" s="58" t="s">
        <v>19</v>
      </c>
      <c r="O131" s="58" t="s">
        <v>1230</v>
      </c>
      <c r="P131" s="7" t="s">
        <v>37</v>
      </c>
      <c r="Q131" s="58" t="s">
        <v>1259</v>
      </c>
      <c r="R131" s="58" t="s">
        <v>173</v>
      </c>
      <c r="S131" s="58" t="s">
        <v>19</v>
      </c>
      <c r="T131" s="44" t="s">
        <v>1260</v>
      </c>
      <c r="U131" s="58" t="s">
        <v>23</v>
      </c>
      <c r="V131">
        <v>4</v>
      </c>
      <c r="W131">
        <v>0</v>
      </c>
      <c r="X131">
        <v>0</v>
      </c>
      <c r="Y131">
        <v>9</v>
      </c>
      <c r="Z131">
        <v>1</v>
      </c>
      <c r="AA131">
        <v>0</v>
      </c>
      <c r="AB131" t="s">
        <v>7</v>
      </c>
      <c r="AC131" t="s">
        <v>7</v>
      </c>
      <c r="AD131" s="25" t="s">
        <v>250</v>
      </c>
      <c r="AE131" s="25" t="s">
        <v>43</v>
      </c>
      <c r="AF131" s="7" t="str">
        <f t="shared" si="25"/>
        <v>N</v>
      </c>
      <c r="AG131">
        <v>15</v>
      </c>
      <c r="AH131">
        <v>6</v>
      </c>
      <c r="AI131">
        <f t="shared" si="68"/>
        <v>9</v>
      </c>
      <c r="AJ131" t="s">
        <v>13</v>
      </c>
      <c r="AK131" s="50" t="s">
        <v>7</v>
      </c>
      <c r="AL131" s="49" t="s">
        <v>944</v>
      </c>
      <c r="AM131" s="50" t="s">
        <v>7</v>
      </c>
      <c r="AN131" s="52" t="s">
        <v>1257</v>
      </c>
      <c r="AO131">
        <f>(1700+1800+5000+2000+3000)/5</f>
        <v>2700</v>
      </c>
      <c r="AP131" s="60">
        <v>1700</v>
      </c>
      <c r="AQ131" s="60">
        <v>5000</v>
      </c>
      <c r="AR131" t="s">
        <v>26</v>
      </c>
      <c r="AT131" t="s">
        <v>23</v>
      </c>
      <c r="AU131" t="s">
        <v>23</v>
      </c>
      <c r="AV131" t="s">
        <v>226</v>
      </c>
      <c r="AW131" t="s">
        <v>226</v>
      </c>
      <c r="AX131" t="s">
        <v>226</v>
      </c>
      <c r="AY131" t="s">
        <v>226</v>
      </c>
      <c r="AZ131">
        <v>5</v>
      </c>
      <c r="BA131">
        <v>5</v>
      </c>
      <c r="BB131">
        <v>5</v>
      </c>
      <c r="BC131">
        <v>5</v>
      </c>
      <c r="BD131">
        <v>0</v>
      </c>
      <c r="BE131">
        <v>0</v>
      </c>
      <c r="BF131">
        <v>0</v>
      </c>
      <c r="BG131">
        <v>0</v>
      </c>
      <c r="BH131" s="25">
        <v>130</v>
      </c>
      <c r="BI131" s="25">
        <v>113</v>
      </c>
      <c r="BJ131" s="25">
        <v>100</v>
      </c>
      <c r="BK131" s="25">
        <v>99</v>
      </c>
      <c r="BL131" s="25">
        <v>97</v>
      </c>
      <c r="BM131" s="25">
        <v>3</v>
      </c>
      <c r="BN131" s="27">
        <v>3</v>
      </c>
      <c r="BO131" s="27">
        <v>3</v>
      </c>
      <c r="BP131" s="27">
        <v>3</v>
      </c>
      <c r="BQ131" s="27">
        <v>3</v>
      </c>
    </row>
    <row r="132" spans="1:80" x14ac:dyDescent="0.3">
      <c r="A132" s="6">
        <v>3591</v>
      </c>
      <c r="B132" t="str">
        <f t="shared" si="69"/>
        <v>Saturday</v>
      </c>
      <c r="C132">
        <f t="shared" si="66"/>
        <v>9</v>
      </c>
      <c r="D132">
        <f t="shared" si="67"/>
        <v>9</v>
      </c>
      <c r="E132">
        <f t="shared" si="67"/>
        <v>9</v>
      </c>
      <c r="F132">
        <f t="shared" si="67"/>
        <v>9</v>
      </c>
      <c r="G132">
        <f t="shared" si="67"/>
        <v>9</v>
      </c>
      <c r="H132" s="1">
        <v>0.64583333333333337</v>
      </c>
      <c r="I132" s="66">
        <v>25</v>
      </c>
      <c r="J132" s="66">
        <v>20</v>
      </c>
      <c r="K132" s="59" t="s">
        <v>7</v>
      </c>
      <c r="L132" s="59" t="s">
        <v>7</v>
      </c>
      <c r="M132" s="58">
        <v>45</v>
      </c>
      <c r="N132" s="58" t="s">
        <v>19</v>
      </c>
      <c r="O132" s="58" t="s">
        <v>1230</v>
      </c>
      <c r="P132" s="7" t="s">
        <v>37</v>
      </c>
      <c r="Q132" s="58" t="s">
        <v>1274</v>
      </c>
      <c r="R132" s="58" t="s">
        <v>1275</v>
      </c>
      <c r="S132" s="58" t="s">
        <v>19</v>
      </c>
      <c r="T132" s="47" t="s">
        <v>1289</v>
      </c>
      <c r="U132" s="58" t="s">
        <v>23</v>
      </c>
      <c r="V132">
        <v>1</v>
      </c>
      <c r="W132">
        <v>4</v>
      </c>
      <c r="X132">
        <v>0</v>
      </c>
      <c r="Y132">
        <v>2</v>
      </c>
      <c r="Z132">
        <v>5</v>
      </c>
      <c r="AA132">
        <v>0</v>
      </c>
      <c r="AB132" t="s">
        <v>7</v>
      </c>
      <c r="AC132" t="s">
        <v>7</v>
      </c>
      <c r="AD132" s="25" t="s">
        <v>250</v>
      </c>
      <c r="AE132" s="25" t="s">
        <v>43</v>
      </c>
      <c r="AF132" s="7" t="str">
        <f t="shared" si="25"/>
        <v>N</v>
      </c>
      <c r="AG132">
        <v>33</v>
      </c>
      <c r="AH132">
        <v>0</v>
      </c>
      <c r="AI132">
        <f t="shared" si="68"/>
        <v>33</v>
      </c>
      <c r="AJ132" t="s">
        <v>13</v>
      </c>
      <c r="AK132" s="50" t="s">
        <v>7</v>
      </c>
      <c r="AL132" s="49" t="s">
        <v>1284</v>
      </c>
      <c r="AM132" s="50" t="s">
        <v>7</v>
      </c>
      <c r="AN132" s="52" t="s">
        <v>1283</v>
      </c>
      <c r="AT132" t="s">
        <v>23</v>
      </c>
      <c r="AU132" t="s">
        <v>23</v>
      </c>
      <c r="AV132" t="s">
        <v>1261</v>
      </c>
      <c r="AW132" t="s">
        <v>1261</v>
      </c>
      <c r="AX132" t="s">
        <v>1261</v>
      </c>
      <c r="AY132" t="s">
        <v>1261</v>
      </c>
      <c r="AZ132">
        <v>6</v>
      </c>
      <c r="BA132">
        <v>6</v>
      </c>
      <c r="BB132">
        <v>6</v>
      </c>
      <c r="BC132">
        <v>6</v>
      </c>
      <c r="BD132">
        <v>0</v>
      </c>
      <c r="BE132">
        <v>0</v>
      </c>
      <c r="BF132">
        <v>0</v>
      </c>
      <c r="BG132">
        <v>0</v>
      </c>
      <c r="BH132" s="25">
        <v>131</v>
      </c>
      <c r="BI132" s="25">
        <v>114</v>
      </c>
      <c r="BJ132" s="25">
        <v>101</v>
      </c>
      <c r="BK132" s="25">
        <v>100</v>
      </c>
      <c r="BL132" s="25">
        <v>98</v>
      </c>
      <c r="BM132" s="25">
        <v>4</v>
      </c>
      <c r="BN132" s="27">
        <v>4</v>
      </c>
      <c r="BO132" s="27">
        <v>4</v>
      </c>
      <c r="BP132" s="27">
        <v>4</v>
      </c>
      <c r="BQ132" s="27">
        <v>4</v>
      </c>
    </row>
    <row r="133" spans="1:80" x14ac:dyDescent="0.3">
      <c r="A133" s="6">
        <v>3598</v>
      </c>
      <c r="B133" t="str">
        <f t="shared" si="69"/>
        <v>Saturday</v>
      </c>
      <c r="C133">
        <f t="shared" si="66"/>
        <v>7</v>
      </c>
      <c r="D133">
        <f t="shared" si="67"/>
        <v>7</v>
      </c>
      <c r="E133">
        <f t="shared" si="67"/>
        <v>7</v>
      </c>
      <c r="F133">
        <f t="shared" si="67"/>
        <v>7</v>
      </c>
      <c r="G133">
        <f t="shared" si="67"/>
        <v>7</v>
      </c>
      <c r="I133" s="58">
        <v>25</v>
      </c>
      <c r="J133" s="58">
        <v>25</v>
      </c>
      <c r="K133" s="59" t="s">
        <v>7</v>
      </c>
      <c r="L133" s="59" t="s">
        <v>7</v>
      </c>
      <c r="M133" s="58">
        <v>50</v>
      </c>
      <c r="N133" s="58" t="s">
        <v>19</v>
      </c>
      <c r="O133" s="58" t="s">
        <v>1230</v>
      </c>
      <c r="P133" s="7" t="s">
        <v>38</v>
      </c>
      <c r="Q133" s="58" t="s">
        <v>175</v>
      </c>
      <c r="R133" s="58" t="s">
        <v>94</v>
      </c>
      <c r="S133" s="58" t="s">
        <v>19</v>
      </c>
      <c r="T133" s="58" t="s">
        <v>1298</v>
      </c>
      <c r="U133" s="58" t="s">
        <v>23</v>
      </c>
      <c r="V133">
        <v>4</v>
      </c>
      <c r="W133">
        <v>1</v>
      </c>
      <c r="X133">
        <v>0</v>
      </c>
      <c r="Y133">
        <v>4</v>
      </c>
      <c r="Z133">
        <v>3</v>
      </c>
      <c r="AA133">
        <v>0</v>
      </c>
      <c r="AB133" t="s">
        <v>7</v>
      </c>
      <c r="AC133" t="s">
        <v>7</v>
      </c>
      <c r="AD133" s="25" t="s">
        <v>870</v>
      </c>
      <c r="AE133" s="25" t="s">
        <v>94</v>
      </c>
      <c r="AF133" s="7" t="str">
        <f t="shared" si="25"/>
        <v>N</v>
      </c>
      <c r="AG133">
        <v>3</v>
      </c>
      <c r="AH133">
        <v>0</v>
      </c>
      <c r="AI133">
        <f t="shared" si="68"/>
        <v>3</v>
      </c>
      <c r="AJ133" t="s">
        <v>13</v>
      </c>
      <c r="AK133" s="50" t="s">
        <v>7</v>
      </c>
      <c r="AL133" s="49" t="s">
        <v>699</v>
      </c>
      <c r="AM133" s="50" t="s">
        <v>7</v>
      </c>
      <c r="AN133" s="52" t="s">
        <v>1295</v>
      </c>
      <c r="AT133" t="s">
        <v>23</v>
      </c>
      <c r="AU133" t="s">
        <v>23</v>
      </c>
      <c r="AV133" t="s">
        <v>1288</v>
      </c>
      <c r="AW133" t="s">
        <v>1288</v>
      </c>
      <c r="AX133" t="s">
        <v>1288</v>
      </c>
      <c r="AY133" t="s">
        <v>1288</v>
      </c>
      <c r="AZ133">
        <v>7</v>
      </c>
      <c r="BA133">
        <v>7</v>
      </c>
      <c r="BB133">
        <v>7</v>
      </c>
      <c r="BC133">
        <v>7</v>
      </c>
      <c r="BD133">
        <v>0</v>
      </c>
      <c r="BE133">
        <v>0</v>
      </c>
      <c r="BF133">
        <v>0</v>
      </c>
      <c r="BG133">
        <v>0</v>
      </c>
      <c r="BH133" s="25">
        <v>132</v>
      </c>
      <c r="BI133" s="25">
        <v>115</v>
      </c>
      <c r="BJ133" s="25">
        <v>102</v>
      </c>
      <c r="BK133" s="25">
        <v>101</v>
      </c>
      <c r="BL133" s="25">
        <v>99</v>
      </c>
      <c r="BM133" s="25">
        <v>5</v>
      </c>
      <c r="BN133" s="27">
        <v>5</v>
      </c>
      <c r="BO133" s="27">
        <v>5</v>
      </c>
      <c r="BP133" s="27">
        <v>5</v>
      </c>
      <c r="BQ133" s="27">
        <v>5</v>
      </c>
    </row>
    <row r="134" spans="1:80" x14ac:dyDescent="0.3">
      <c r="A134" s="6">
        <v>3605</v>
      </c>
      <c r="B134" t="str">
        <f t="shared" si="69"/>
        <v>Saturday</v>
      </c>
      <c r="C134">
        <f t="shared" si="66"/>
        <v>7</v>
      </c>
      <c r="D134">
        <f t="shared" si="67"/>
        <v>7</v>
      </c>
      <c r="E134">
        <f t="shared" si="67"/>
        <v>7</v>
      </c>
      <c r="F134">
        <f t="shared" si="67"/>
        <v>7</v>
      </c>
      <c r="G134">
        <f t="shared" si="67"/>
        <v>7</v>
      </c>
      <c r="H134" s="1">
        <v>0.64583333333333337</v>
      </c>
      <c r="I134" s="58">
        <v>20</v>
      </c>
      <c r="J134" s="58">
        <v>20</v>
      </c>
      <c r="K134" s="59" t="s">
        <v>7</v>
      </c>
      <c r="L134" s="59" t="s">
        <v>7</v>
      </c>
      <c r="M134" s="58">
        <v>40</v>
      </c>
      <c r="N134" s="58" t="s">
        <v>19</v>
      </c>
      <c r="O134" s="58" t="s">
        <v>1230</v>
      </c>
      <c r="P134" s="7" t="s">
        <v>37</v>
      </c>
      <c r="Q134" s="58" t="s">
        <v>1300</v>
      </c>
      <c r="R134" s="58" t="s">
        <v>916</v>
      </c>
      <c r="S134" s="58" t="s">
        <v>19</v>
      </c>
      <c r="T134" s="58" t="s">
        <v>1299</v>
      </c>
      <c r="U134" s="58" t="s">
        <v>154</v>
      </c>
      <c r="V134" s="38">
        <v>3</v>
      </c>
      <c r="W134" s="38">
        <v>0</v>
      </c>
      <c r="X134" s="38">
        <v>0</v>
      </c>
      <c r="Y134" s="38">
        <v>3</v>
      </c>
      <c r="Z134" s="38">
        <v>1</v>
      </c>
      <c r="AA134" s="38">
        <v>0</v>
      </c>
      <c r="AB134" t="s">
        <v>7</v>
      </c>
      <c r="AC134" t="s">
        <v>7</v>
      </c>
      <c r="AD134" s="25" t="s">
        <v>250</v>
      </c>
      <c r="AE134" s="25" t="s">
        <v>43</v>
      </c>
      <c r="AF134" s="7" t="str">
        <f t="shared" si="25"/>
        <v>N</v>
      </c>
      <c r="AG134">
        <v>5</v>
      </c>
      <c r="AH134">
        <v>0</v>
      </c>
      <c r="AI134">
        <f t="shared" si="68"/>
        <v>5</v>
      </c>
      <c r="AJ134" t="s">
        <v>13</v>
      </c>
      <c r="AK134" s="50" t="s">
        <v>7</v>
      </c>
      <c r="AL134" s="49" t="s">
        <v>253</v>
      </c>
      <c r="AM134" s="50" t="s">
        <v>7</v>
      </c>
      <c r="AN134" s="52" t="s">
        <v>1081</v>
      </c>
      <c r="AO134">
        <f>(2000+3000)/2</f>
        <v>2500</v>
      </c>
      <c r="AP134" s="60">
        <v>2000</v>
      </c>
      <c r="AQ134" s="60">
        <v>3000</v>
      </c>
      <c r="AS134" t="s">
        <v>1307</v>
      </c>
      <c r="AT134" t="s">
        <v>23</v>
      </c>
      <c r="AU134" t="s">
        <v>23</v>
      </c>
      <c r="AV134" t="s">
        <v>1296</v>
      </c>
      <c r="AW134" t="s">
        <v>1296</v>
      </c>
      <c r="AX134" t="s">
        <v>1296</v>
      </c>
      <c r="AY134" t="s">
        <v>1296</v>
      </c>
      <c r="AZ134">
        <v>8</v>
      </c>
      <c r="BA134">
        <v>8</v>
      </c>
      <c r="BB134">
        <v>8</v>
      </c>
      <c r="BC134">
        <v>8</v>
      </c>
      <c r="BD134">
        <v>0</v>
      </c>
      <c r="BE134">
        <v>0</v>
      </c>
      <c r="BF134">
        <v>0</v>
      </c>
      <c r="BG134">
        <v>0</v>
      </c>
      <c r="BH134" s="25">
        <v>133</v>
      </c>
      <c r="BI134" s="25">
        <v>116</v>
      </c>
      <c r="BJ134" s="25">
        <v>103</v>
      </c>
      <c r="BK134" s="25">
        <v>102</v>
      </c>
      <c r="BL134" s="25">
        <v>100</v>
      </c>
      <c r="BM134" s="25">
        <v>6</v>
      </c>
      <c r="BN134" s="27">
        <v>6</v>
      </c>
      <c r="BO134" s="27">
        <v>6</v>
      </c>
      <c r="BP134" s="27">
        <v>6</v>
      </c>
      <c r="BQ134" s="27">
        <v>6</v>
      </c>
    </row>
    <row r="135" spans="1:80" x14ac:dyDescent="0.3">
      <c r="A135" s="6">
        <v>3612</v>
      </c>
      <c r="B135" t="str">
        <f t="shared" si="69"/>
        <v>Saturday</v>
      </c>
      <c r="C135">
        <f t="shared" si="66"/>
        <v>7</v>
      </c>
      <c r="D135">
        <f t="shared" si="67"/>
        <v>7</v>
      </c>
      <c r="E135">
        <f t="shared" si="67"/>
        <v>7</v>
      </c>
      <c r="F135">
        <f t="shared" si="67"/>
        <v>7</v>
      </c>
      <c r="G135">
        <f t="shared" si="67"/>
        <v>7</v>
      </c>
      <c r="I135" s="58" t="s">
        <v>7</v>
      </c>
      <c r="J135" s="58" t="s">
        <v>7</v>
      </c>
      <c r="K135" s="59" t="s">
        <v>7</v>
      </c>
      <c r="L135" s="59" t="s">
        <v>7</v>
      </c>
      <c r="M135" s="58" t="s">
        <v>7</v>
      </c>
      <c r="N135" s="58" t="s">
        <v>19</v>
      </c>
      <c r="O135" s="58" t="s">
        <v>1230</v>
      </c>
      <c r="P135" s="7" t="s">
        <v>37</v>
      </c>
      <c r="Q135" s="58" t="s">
        <v>32</v>
      </c>
      <c r="R135" s="58" t="s">
        <v>44</v>
      </c>
      <c r="S135" s="58" t="s">
        <v>19</v>
      </c>
      <c r="T135" s="58" t="s">
        <v>1322</v>
      </c>
      <c r="U135" s="58" t="s">
        <v>23</v>
      </c>
      <c r="V135">
        <v>2</v>
      </c>
      <c r="W135">
        <v>4</v>
      </c>
      <c r="X135">
        <v>0</v>
      </c>
      <c r="Y135">
        <v>2</v>
      </c>
      <c r="Z135">
        <v>4</v>
      </c>
      <c r="AA135">
        <v>0</v>
      </c>
      <c r="AB135" t="s">
        <v>7</v>
      </c>
      <c r="AC135" t="s">
        <v>7</v>
      </c>
      <c r="AD135" s="25" t="s">
        <v>250</v>
      </c>
      <c r="AE135" s="25" t="s">
        <v>43</v>
      </c>
      <c r="AF135" s="7" t="str">
        <f t="shared" si="25"/>
        <v>N</v>
      </c>
      <c r="AG135" s="25" t="s">
        <v>7</v>
      </c>
      <c r="AH135" s="25" t="s">
        <v>7</v>
      </c>
      <c r="AI135" t="s">
        <v>7</v>
      </c>
      <c r="AJ135" s="25" t="s">
        <v>7</v>
      </c>
      <c r="AK135" s="50" t="s">
        <v>7</v>
      </c>
      <c r="AL135" s="49" t="s">
        <v>7</v>
      </c>
      <c r="AM135" s="50" t="s">
        <v>7</v>
      </c>
      <c r="AN135" s="52" t="s">
        <v>7</v>
      </c>
      <c r="AO135" t="s">
        <v>7</v>
      </c>
      <c r="AS135" t="s">
        <v>73</v>
      </c>
      <c r="AT135" s="26" t="s">
        <v>28</v>
      </c>
      <c r="AU135" t="s">
        <v>28</v>
      </c>
      <c r="BH135" s="25">
        <v>134</v>
      </c>
      <c r="BM135" s="25">
        <v>7</v>
      </c>
    </row>
    <row r="136" spans="1:80" x14ac:dyDescent="0.3">
      <c r="A136" s="6">
        <v>3617</v>
      </c>
      <c r="B136" t="str">
        <f t="shared" si="69"/>
        <v>Thursday</v>
      </c>
      <c r="C136">
        <f>$A136-$A134</f>
        <v>12</v>
      </c>
      <c r="D136">
        <f t="shared" ref="D136:G136" si="70">$A136-$A134</f>
        <v>12</v>
      </c>
      <c r="E136">
        <f t="shared" si="70"/>
        <v>12</v>
      </c>
      <c r="F136">
        <f t="shared" si="70"/>
        <v>12</v>
      </c>
      <c r="G136">
        <f t="shared" si="70"/>
        <v>12</v>
      </c>
      <c r="H136" s="43">
        <v>0.625</v>
      </c>
      <c r="I136" s="60">
        <v>35</v>
      </c>
      <c r="J136" s="60">
        <v>35</v>
      </c>
      <c r="K136" s="59" t="s">
        <v>7</v>
      </c>
      <c r="L136" s="59" t="s">
        <v>7</v>
      </c>
      <c r="M136" s="60">
        <v>70</v>
      </c>
      <c r="N136" s="58" t="s">
        <v>19</v>
      </c>
      <c r="O136" s="58" t="s">
        <v>1230</v>
      </c>
      <c r="P136" s="7" t="s">
        <v>28</v>
      </c>
      <c r="Q136" s="58" t="s">
        <v>900</v>
      </c>
      <c r="R136" s="58" t="s">
        <v>145</v>
      </c>
      <c r="S136" s="58" t="s">
        <v>19</v>
      </c>
      <c r="T136" s="58" t="s">
        <v>1319</v>
      </c>
      <c r="U136" s="58" t="s">
        <v>23</v>
      </c>
      <c r="V136">
        <v>5</v>
      </c>
      <c r="W136">
        <v>1</v>
      </c>
      <c r="X136">
        <v>0</v>
      </c>
      <c r="Y136">
        <v>6</v>
      </c>
      <c r="Z136">
        <v>1</v>
      </c>
      <c r="AA136">
        <v>0</v>
      </c>
      <c r="AB136" t="s">
        <v>7</v>
      </c>
      <c r="AC136" t="s">
        <v>7</v>
      </c>
      <c r="AD136" s="25" t="s">
        <v>1320</v>
      </c>
      <c r="AE136" s="25" t="s">
        <v>916</v>
      </c>
      <c r="AF136" s="7" t="str">
        <f t="shared" si="25"/>
        <v>N</v>
      </c>
      <c r="AG136" s="25">
        <v>5</v>
      </c>
      <c r="AH136" s="25">
        <v>18</v>
      </c>
      <c r="AI136">
        <f t="shared" si="68"/>
        <v>-13</v>
      </c>
      <c r="AJ136" s="25" t="s">
        <v>47</v>
      </c>
      <c r="AK136" s="50" t="s">
        <v>7</v>
      </c>
      <c r="AL136" s="49" t="s">
        <v>1037</v>
      </c>
      <c r="AM136" s="50" t="s">
        <v>7</v>
      </c>
      <c r="AN136" s="52" t="s">
        <v>1321</v>
      </c>
      <c r="AO136" s="25">
        <f>AVERAGE(10000,10000,10000,12000,8000)</f>
        <v>10000</v>
      </c>
      <c r="AP136" s="60">
        <v>8000</v>
      </c>
      <c r="AQ136" s="60">
        <v>12000</v>
      </c>
      <c r="AR136" t="s">
        <v>59</v>
      </c>
      <c r="AT136" t="s">
        <v>23</v>
      </c>
      <c r="AU136" t="s">
        <v>23</v>
      </c>
      <c r="AV136" t="s">
        <v>1308</v>
      </c>
      <c r="AW136" t="s">
        <v>1308</v>
      </c>
      <c r="AX136" t="s">
        <v>1308</v>
      </c>
      <c r="AY136" t="s">
        <v>1308</v>
      </c>
      <c r="AZ136">
        <v>9</v>
      </c>
      <c r="BA136">
        <v>9</v>
      </c>
      <c r="BB136">
        <v>9</v>
      </c>
      <c r="BC136">
        <v>9</v>
      </c>
      <c r="BD136">
        <v>0</v>
      </c>
      <c r="BE136">
        <v>0</v>
      </c>
      <c r="BF136">
        <v>0</v>
      </c>
      <c r="BG136">
        <v>0</v>
      </c>
      <c r="BH136" s="25">
        <v>135</v>
      </c>
      <c r="BI136" s="25">
        <v>117</v>
      </c>
      <c r="BJ136" s="25">
        <v>104</v>
      </c>
      <c r="BK136" s="25">
        <v>103</v>
      </c>
      <c r="BL136" s="25">
        <v>101</v>
      </c>
      <c r="BM136" s="25">
        <v>8</v>
      </c>
      <c r="BN136" s="27">
        <v>7</v>
      </c>
      <c r="BO136" s="27">
        <v>7</v>
      </c>
      <c r="BP136" s="27">
        <v>7</v>
      </c>
      <c r="BQ136" s="27">
        <v>7</v>
      </c>
      <c r="BR136" s="27" t="s">
        <v>23</v>
      </c>
      <c r="BS136" s="27" t="s">
        <v>23</v>
      </c>
      <c r="BT136" s="71" t="s">
        <v>23</v>
      </c>
      <c r="BU136" s="71" t="s">
        <v>23</v>
      </c>
      <c r="BY136" s="71" t="s">
        <v>23</v>
      </c>
      <c r="BZ136" s="7" t="s">
        <v>23</v>
      </c>
      <c r="CA136" s="7" t="s">
        <v>23</v>
      </c>
      <c r="CB136" s="7" t="s">
        <v>23</v>
      </c>
    </row>
    <row r="137" spans="1:80" x14ac:dyDescent="0.3">
      <c r="A137" s="6">
        <v>3934</v>
      </c>
      <c r="B137" t="str">
        <f t="shared" si="69"/>
        <v>Saturday</v>
      </c>
      <c r="C137">
        <f>$A137-$A136</f>
        <v>317</v>
      </c>
      <c r="D137">
        <f t="shared" ref="D137:G137" si="71">$A137-$A136</f>
        <v>317</v>
      </c>
      <c r="E137">
        <f t="shared" si="71"/>
        <v>317</v>
      </c>
      <c r="F137">
        <f t="shared" si="71"/>
        <v>317</v>
      </c>
      <c r="G137">
        <f t="shared" si="71"/>
        <v>317</v>
      </c>
      <c r="H137" s="43"/>
      <c r="I137" s="60" t="s">
        <v>7</v>
      </c>
      <c r="J137" s="60" t="s">
        <v>7</v>
      </c>
      <c r="K137" s="60" t="s">
        <v>7</v>
      </c>
      <c r="L137" s="60" t="s">
        <v>7</v>
      </c>
      <c r="M137" s="60" t="s">
        <v>7</v>
      </c>
      <c r="N137" s="60" t="s">
        <v>19</v>
      </c>
      <c r="O137" s="60" t="s">
        <v>1230</v>
      </c>
      <c r="P137" s="7" t="s">
        <v>37</v>
      </c>
      <c r="Q137" s="60" t="s">
        <v>1223</v>
      </c>
      <c r="R137" s="60" t="s">
        <v>1157</v>
      </c>
      <c r="S137" s="60" t="s">
        <v>19</v>
      </c>
      <c r="T137" s="60" t="s">
        <v>1347</v>
      </c>
      <c r="U137" s="60" t="s">
        <v>23</v>
      </c>
      <c r="V137">
        <v>0</v>
      </c>
      <c r="W137">
        <v>0</v>
      </c>
      <c r="X137">
        <v>0</v>
      </c>
      <c r="Y137">
        <v>2</v>
      </c>
      <c r="Z137">
        <v>2</v>
      </c>
      <c r="AA137">
        <v>2</v>
      </c>
      <c r="AB137" t="s">
        <v>7</v>
      </c>
      <c r="AC137" t="s">
        <v>7</v>
      </c>
      <c r="AD137" s="25" t="s">
        <v>250</v>
      </c>
      <c r="AE137" s="25" t="s">
        <v>43</v>
      </c>
      <c r="AF137" s="7" t="str">
        <f t="shared" si="25"/>
        <v>N</v>
      </c>
      <c r="AG137" s="25" t="s">
        <v>7</v>
      </c>
      <c r="AH137" s="25" t="s">
        <v>7</v>
      </c>
      <c r="AI137" s="25" t="s">
        <v>7</v>
      </c>
      <c r="AJ137" s="25" t="s">
        <v>7</v>
      </c>
      <c r="AK137" s="49" t="s">
        <v>7</v>
      </c>
      <c r="AL137" s="49" t="s">
        <v>7</v>
      </c>
      <c r="AM137" s="49" t="s">
        <v>7</v>
      </c>
      <c r="AN137" s="52" t="s">
        <v>7</v>
      </c>
      <c r="AO137" s="52" t="s">
        <v>7</v>
      </c>
      <c r="AT137" s="26" t="s">
        <v>28</v>
      </c>
      <c r="AU137" t="s">
        <v>28</v>
      </c>
      <c r="BH137" s="25">
        <v>136</v>
      </c>
      <c r="BM137" s="25">
        <v>1</v>
      </c>
      <c r="BU137" s="71"/>
    </row>
    <row r="138" spans="1:80" x14ac:dyDescent="0.3">
      <c r="A138" s="6">
        <v>3934</v>
      </c>
      <c r="B138" t="str">
        <f t="shared" si="69"/>
        <v>Saturday</v>
      </c>
      <c r="C138">
        <f>$A138-$A136</f>
        <v>317</v>
      </c>
      <c r="D138">
        <f>$A138-$A136</f>
        <v>317</v>
      </c>
      <c r="E138">
        <f>$A138-$A136</f>
        <v>317</v>
      </c>
      <c r="F138">
        <f>$A138-$A136</f>
        <v>317</v>
      </c>
      <c r="G138">
        <f>$A138-$A136</f>
        <v>317</v>
      </c>
      <c r="H138" s="1">
        <v>0.66666666666666663</v>
      </c>
      <c r="I138" s="60">
        <v>10</v>
      </c>
      <c r="J138" s="60">
        <v>10</v>
      </c>
      <c r="K138" s="60">
        <v>10</v>
      </c>
      <c r="L138" s="60">
        <v>10</v>
      </c>
      <c r="M138" s="60">
        <v>40</v>
      </c>
      <c r="N138" s="58" t="s">
        <v>19</v>
      </c>
      <c r="O138" s="58" t="s">
        <v>1230</v>
      </c>
      <c r="P138" s="7" t="s">
        <v>37</v>
      </c>
      <c r="Q138" s="58" t="s">
        <v>643</v>
      </c>
      <c r="R138" s="58" t="s">
        <v>1157</v>
      </c>
      <c r="S138" s="58" t="s">
        <v>19</v>
      </c>
      <c r="T138" s="58" t="s">
        <v>1327</v>
      </c>
      <c r="U138" s="58" t="s">
        <v>23</v>
      </c>
      <c r="V138">
        <v>2</v>
      </c>
      <c r="W138">
        <v>0</v>
      </c>
      <c r="X138">
        <v>0</v>
      </c>
      <c r="Y138">
        <v>6</v>
      </c>
      <c r="Z138">
        <v>1</v>
      </c>
      <c r="AA138">
        <v>1</v>
      </c>
      <c r="AB138" t="s">
        <v>7</v>
      </c>
      <c r="AC138" t="s">
        <v>7</v>
      </c>
      <c r="AD138" s="25" t="s">
        <v>250</v>
      </c>
      <c r="AE138" s="25" t="s">
        <v>43</v>
      </c>
      <c r="AF138" s="7" t="str">
        <f t="shared" si="25"/>
        <v>N</v>
      </c>
      <c r="AG138" s="25">
        <v>0</v>
      </c>
      <c r="AH138" s="25">
        <v>0</v>
      </c>
      <c r="AI138">
        <f t="shared" si="68"/>
        <v>0</v>
      </c>
      <c r="AJ138" s="25" t="s">
        <v>91</v>
      </c>
      <c r="AK138" s="49" t="s">
        <v>253</v>
      </c>
      <c r="AL138" s="49" t="s">
        <v>253</v>
      </c>
      <c r="AM138" s="49" t="s">
        <v>253</v>
      </c>
      <c r="AN138" s="52" t="s">
        <v>1034</v>
      </c>
      <c r="AO138">
        <v>1000</v>
      </c>
      <c r="AS138" t="s">
        <v>1328</v>
      </c>
      <c r="AT138" t="s">
        <v>23</v>
      </c>
      <c r="AU138" t="s">
        <v>23</v>
      </c>
      <c r="AV138" t="s">
        <v>222</v>
      </c>
      <c r="AW138" t="s">
        <v>222</v>
      </c>
      <c r="AX138" t="s">
        <v>222</v>
      </c>
      <c r="AY138" t="s">
        <v>222</v>
      </c>
      <c r="AZ138">
        <v>0</v>
      </c>
      <c r="BA138">
        <v>0</v>
      </c>
      <c r="BB138">
        <v>0</v>
      </c>
      <c r="BC138">
        <v>0</v>
      </c>
      <c r="BD138">
        <v>1</v>
      </c>
      <c r="BE138">
        <v>1</v>
      </c>
      <c r="BF138">
        <v>1</v>
      </c>
      <c r="BG138">
        <v>1</v>
      </c>
      <c r="BH138" s="25">
        <v>137</v>
      </c>
      <c r="BI138" s="25">
        <v>118</v>
      </c>
      <c r="BJ138" s="25">
        <v>105</v>
      </c>
      <c r="BK138" s="25">
        <v>104</v>
      </c>
      <c r="BL138" s="25">
        <v>102</v>
      </c>
      <c r="BM138" s="25">
        <v>2</v>
      </c>
      <c r="BN138" s="27">
        <v>1</v>
      </c>
      <c r="BO138" s="27">
        <v>1</v>
      </c>
      <c r="BP138" s="27">
        <v>1</v>
      </c>
      <c r="BQ138" s="27">
        <v>1</v>
      </c>
    </row>
    <row r="139" spans="1:80" x14ac:dyDescent="0.3">
      <c r="AV139" t="s">
        <v>237</v>
      </c>
      <c r="AW139" t="s">
        <v>237</v>
      </c>
      <c r="AX139" t="s">
        <v>237</v>
      </c>
      <c r="AY139" t="s">
        <v>237</v>
      </c>
      <c r="AZ139">
        <v>1</v>
      </c>
      <c r="BA139">
        <v>1</v>
      </c>
      <c r="BB139">
        <v>1</v>
      </c>
      <c r="BC139">
        <v>1</v>
      </c>
      <c r="BD139">
        <v>1</v>
      </c>
      <c r="BE139">
        <v>2</v>
      </c>
      <c r="BF139">
        <v>2</v>
      </c>
      <c r="BG139">
        <v>2</v>
      </c>
    </row>
  </sheetData>
  <phoneticPr fontId="7" type="noConversion"/>
  <conditionalFormatting sqref="AU1:AU1048576 AV103:AY105 AV106:AX107 AY107 AV111:AY112 AZ112 BE112:BM112 BI114:BL122 AV119:AY122 BM113:BM123 BI124:BM125 AV124:AY125 BM126 BI127:BM134 AV127:AY134 BM135 AV136:AY139 BH113:BH138 BI135:BJ138 BK136:BM138">
    <cfRule type="beginsWith" dxfId="12" priority="22" operator="beginsWith" text="N">
      <formula>LEFT(AU1,LEN("N"))="N"</formula>
    </cfRule>
    <cfRule type="beginsWith" dxfId="11" priority="23" operator="beginsWith" text="Y">
      <formula>LEFT(AU1,LEN("Y"))="Y"</formula>
    </cfRule>
  </conditionalFormatting>
  <conditionalFormatting sqref="BA112">
    <cfRule type="beginsWith" dxfId="10" priority="14" operator="beginsWith" text="N">
      <formula>LEFT(BA112,LEN("N"))="N"</formula>
    </cfRule>
    <cfRule type="beginsWith" dxfId="9" priority="15" operator="beginsWith" text="Y">
      <formula>LEFT(BA112,LEN("Y"))="Y"</formula>
    </cfRule>
  </conditionalFormatting>
  <conditionalFormatting sqref="BB112">
    <cfRule type="beginsWith" dxfId="8" priority="12" operator="beginsWith" text="N">
      <formula>LEFT(BB112,LEN("N"))="N"</formula>
    </cfRule>
    <cfRule type="beginsWith" dxfId="7" priority="13" operator="beginsWith" text="Y">
      <formula>LEFT(BB112,LEN("Y"))="Y"</formula>
    </cfRule>
  </conditionalFormatting>
  <conditionalFormatting sqref="BC112">
    <cfRule type="beginsWith" dxfId="6" priority="10" operator="beginsWith" text="N">
      <formula>LEFT(BC112,LEN("N"))="N"</formula>
    </cfRule>
    <cfRule type="beginsWith" dxfId="5" priority="11" operator="beginsWith" text="Y">
      <formula>LEFT(BC112,LEN("Y"))="Y"</formula>
    </cfRule>
  </conditionalFormatting>
  <conditionalFormatting sqref="BD112">
    <cfRule type="beginsWith" dxfId="4" priority="8" operator="beginsWith" text="N">
      <formula>LEFT(BD112,LEN("N"))="N"</formula>
    </cfRule>
    <cfRule type="beginsWith" dxfId="3" priority="9" operator="beginsWith" text="Y">
      <formula>LEFT(BD112,LEN("Y"))="Y"</formula>
    </cfRule>
  </conditionalFormatting>
  <conditionalFormatting sqref="AF1:AF1048576">
    <cfRule type="cellIs" dxfId="2" priority="1" operator="equal">
      <formula>"Y"</formula>
    </cfRule>
  </conditionalFormatting>
  <hyperlinks>
    <hyperlink ref="T101" r:id="rId1" xr:uid="{97F43FDA-20D6-45E0-A25C-4822225441B9}"/>
  </hyperlinks>
  <pageMargins left="0.7" right="0.7" top="0.75" bottom="0.75" header="0.3" footer="0.3"/>
  <pageSetup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F1DB-D1AA-4446-883A-C6A137354853}">
  <dimension ref="A1:I1117"/>
  <sheetViews>
    <sheetView topLeftCell="A1103" workbookViewId="0">
      <selection activeCell="A1108" sqref="A1108"/>
    </sheetView>
  </sheetViews>
  <sheetFormatPr defaultRowHeight="14.4" x14ac:dyDescent="0.3"/>
  <cols>
    <col min="1" max="1" width="36.88671875" bestFit="1" customWidth="1"/>
    <col min="2" max="2" width="9.44140625" style="29" customWidth="1"/>
    <col min="3" max="3" width="52.6640625" bestFit="1" customWidth="1"/>
    <col min="4" max="4" width="9.109375" style="25" bestFit="1" customWidth="1"/>
    <col min="5" max="5" width="14.77734375" style="33" bestFit="1" customWidth="1"/>
    <col min="6" max="6" width="10.33203125" style="33" bestFit="1" customWidth="1"/>
  </cols>
  <sheetData>
    <row r="1" spans="1:6" x14ac:dyDescent="0.3">
      <c r="A1" t="s">
        <v>269</v>
      </c>
      <c r="B1" s="29" t="s">
        <v>270</v>
      </c>
      <c r="C1" t="s">
        <v>2</v>
      </c>
      <c r="D1" s="25" t="s">
        <v>12</v>
      </c>
      <c r="E1" s="33" t="s">
        <v>279</v>
      </c>
      <c r="F1" s="33" t="s">
        <v>280</v>
      </c>
    </row>
    <row r="3" spans="1:6" x14ac:dyDescent="0.3">
      <c r="A3" s="76" t="s">
        <v>265</v>
      </c>
      <c r="B3" s="76"/>
      <c r="C3" s="76"/>
      <c r="D3" s="76"/>
    </row>
    <row r="4" spans="1:6" x14ac:dyDescent="0.3">
      <c r="A4" t="s">
        <v>268</v>
      </c>
      <c r="B4" s="32"/>
      <c r="C4" s="32"/>
      <c r="D4" s="73"/>
      <c r="E4" s="33" t="s">
        <v>253</v>
      </c>
      <c r="F4" s="33" t="s">
        <v>254</v>
      </c>
    </row>
    <row r="5" spans="1:6" x14ac:dyDescent="0.3">
      <c r="B5" s="29" t="s">
        <v>267</v>
      </c>
      <c r="C5" t="s">
        <v>266</v>
      </c>
      <c r="D5" s="25" t="s">
        <v>271</v>
      </c>
    </row>
    <row r="7" spans="1:6" x14ac:dyDescent="0.3">
      <c r="A7" s="76" t="s">
        <v>272</v>
      </c>
      <c r="B7" s="76"/>
      <c r="C7" s="76"/>
      <c r="D7" s="76"/>
    </row>
    <row r="8" spans="1:6" x14ac:dyDescent="0.3">
      <c r="A8" t="s">
        <v>273</v>
      </c>
      <c r="B8" s="31"/>
      <c r="C8" s="31"/>
      <c r="D8" s="74"/>
      <c r="E8" s="33" t="s">
        <v>253</v>
      </c>
      <c r="F8" s="33" t="s">
        <v>254</v>
      </c>
    </row>
    <row r="9" spans="1:6" x14ac:dyDescent="0.3">
      <c r="B9" s="29" t="s">
        <v>274</v>
      </c>
      <c r="C9" t="s">
        <v>266</v>
      </c>
      <c r="D9" s="25" t="s">
        <v>275</v>
      </c>
    </row>
    <row r="10" spans="1:6" x14ac:dyDescent="0.3">
      <c r="B10" s="29">
        <v>44125</v>
      </c>
      <c r="C10" t="s">
        <v>266</v>
      </c>
      <c r="D10" s="25" t="s">
        <v>276</v>
      </c>
    </row>
    <row r="11" spans="1:6" x14ac:dyDescent="0.3">
      <c r="A11" t="s">
        <v>277</v>
      </c>
      <c r="B11" s="77"/>
      <c r="C11" s="77"/>
      <c r="D11" s="77"/>
      <c r="E11" s="33" t="s">
        <v>254</v>
      </c>
      <c r="F11" s="33" t="s">
        <v>254</v>
      </c>
    </row>
    <row r="12" spans="1:6" x14ac:dyDescent="0.3">
      <c r="B12" s="29">
        <v>44124</v>
      </c>
      <c r="C12" t="s">
        <v>266</v>
      </c>
      <c r="D12" s="25" t="s">
        <v>275</v>
      </c>
    </row>
    <row r="13" spans="1:6" x14ac:dyDescent="0.3">
      <c r="B13" s="29" t="s">
        <v>278</v>
      </c>
      <c r="C13" t="s">
        <v>266</v>
      </c>
      <c r="D13" s="25" t="s">
        <v>276</v>
      </c>
    </row>
    <row r="14" spans="1:6" x14ac:dyDescent="0.3">
      <c r="A14" t="s">
        <v>296</v>
      </c>
      <c r="B14" s="31"/>
      <c r="C14" s="31"/>
      <c r="D14" s="74"/>
      <c r="E14" s="33" t="s">
        <v>281</v>
      </c>
      <c r="F14" s="33" t="s">
        <v>282</v>
      </c>
    </row>
    <row r="15" spans="1:6" x14ac:dyDescent="0.3">
      <c r="B15" s="29">
        <v>43969</v>
      </c>
      <c r="C15" t="s">
        <v>283</v>
      </c>
      <c r="D15" s="25" t="s">
        <v>284</v>
      </c>
    </row>
    <row r="16" spans="1:6" x14ac:dyDescent="0.3">
      <c r="B16" s="29">
        <v>44125</v>
      </c>
      <c r="C16" t="s">
        <v>1331</v>
      </c>
      <c r="D16" s="25" t="s">
        <v>285</v>
      </c>
    </row>
    <row r="17" spans="1:7" x14ac:dyDescent="0.3">
      <c r="B17" s="29">
        <v>44126</v>
      </c>
      <c r="C17" t="s">
        <v>286</v>
      </c>
      <c r="D17" s="25" t="s">
        <v>287</v>
      </c>
    </row>
    <row r="18" spans="1:7" x14ac:dyDescent="0.3">
      <c r="B18" s="29">
        <v>44128</v>
      </c>
      <c r="C18" t="s">
        <v>288</v>
      </c>
      <c r="D18" s="25" t="s">
        <v>289</v>
      </c>
    </row>
    <row r="19" spans="1:7" x14ac:dyDescent="0.3">
      <c r="B19" s="29" t="s">
        <v>290</v>
      </c>
      <c r="C19" t="s">
        <v>291</v>
      </c>
      <c r="D19" s="25" t="s">
        <v>294</v>
      </c>
    </row>
    <row r="20" spans="1:7" x14ac:dyDescent="0.3">
      <c r="B20" s="29">
        <v>44159</v>
      </c>
      <c r="C20" t="s">
        <v>292</v>
      </c>
      <c r="D20" s="25" t="s">
        <v>293</v>
      </c>
    </row>
    <row r="21" spans="1:7" x14ac:dyDescent="0.3">
      <c r="B21" s="29" t="s">
        <v>276</v>
      </c>
      <c r="C21" t="s">
        <v>295</v>
      </c>
      <c r="D21" s="25" t="s">
        <v>294</v>
      </c>
    </row>
    <row r="22" spans="1:7" x14ac:dyDescent="0.3">
      <c r="B22" s="29" t="s">
        <v>276</v>
      </c>
      <c r="C22" t="s">
        <v>93</v>
      </c>
      <c r="D22" s="25" t="s">
        <v>294</v>
      </c>
    </row>
    <row r="24" spans="1:7" x14ac:dyDescent="0.3">
      <c r="A24" s="76">
        <v>1893</v>
      </c>
      <c r="B24" s="76"/>
      <c r="C24" s="76"/>
      <c r="D24" s="76"/>
    </row>
    <row r="25" spans="1:7" x14ac:dyDescent="0.3">
      <c r="A25" t="s">
        <v>304</v>
      </c>
      <c r="E25" s="39" t="s">
        <v>253</v>
      </c>
      <c r="F25" s="39" t="s">
        <v>301</v>
      </c>
    </row>
    <row r="26" spans="1:7" x14ac:dyDescent="0.3">
      <c r="B26" s="29" t="s">
        <v>297</v>
      </c>
      <c r="C26" t="s">
        <v>291</v>
      </c>
      <c r="D26" s="25" t="s">
        <v>298</v>
      </c>
      <c r="G26" t="s">
        <v>299</v>
      </c>
    </row>
    <row r="27" spans="1:7" x14ac:dyDescent="0.3">
      <c r="B27" s="29">
        <v>44152</v>
      </c>
      <c r="C27" t="s">
        <v>266</v>
      </c>
      <c r="D27" s="25" t="s">
        <v>300</v>
      </c>
    </row>
    <row r="28" spans="1:7" x14ac:dyDescent="0.3">
      <c r="B28" s="29">
        <v>44190</v>
      </c>
      <c r="C28" s="34" t="s">
        <v>302</v>
      </c>
      <c r="D28" s="25" t="s">
        <v>303</v>
      </c>
    </row>
    <row r="29" spans="1:7" x14ac:dyDescent="0.3">
      <c r="A29" t="s">
        <v>305</v>
      </c>
      <c r="E29" s="33" t="s">
        <v>257</v>
      </c>
      <c r="F29" s="33" t="s">
        <v>306</v>
      </c>
    </row>
    <row r="30" spans="1:7" x14ac:dyDescent="0.3">
      <c r="B30" s="29">
        <v>44125</v>
      </c>
      <c r="C30" t="s">
        <v>307</v>
      </c>
      <c r="D30" s="25" t="s">
        <v>308</v>
      </c>
    </row>
    <row r="31" spans="1:7" x14ac:dyDescent="0.3">
      <c r="B31" s="29">
        <v>44138</v>
      </c>
      <c r="C31" t="s">
        <v>314</v>
      </c>
      <c r="D31" s="25" t="s">
        <v>315</v>
      </c>
    </row>
    <row r="32" spans="1:7" x14ac:dyDescent="0.3">
      <c r="B32" s="29">
        <v>44139</v>
      </c>
      <c r="C32" t="s">
        <v>309</v>
      </c>
      <c r="D32" s="25" t="s">
        <v>310</v>
      </c>
    </row>
    <row r="33" spans="1:7" x14ac:dyDescent="0.3">
      <c r="B33" s="29">
        <v>44141</v>
      </c>
      <c r="C33" t="s">
        <v>311</v>
      </c>
      <c r="D33" s="25" t="s">
        <v>312</v>
      </c>
    </row>
    <row r="34" spans="1:7" x14ac:dyDescent="0.3">
      <c r="B34" s="29" t="s">
        <v>313</v>
      </c>
      <c r="C34" t="s">
        <v>266</v>
      </c>
      <c r="D34" s="25" t="s">
        <v>271</v>
      </c>
    </row>
    <row r="35" spans="1:7" x14ac:dyDescent="0.3">
      <c r="B35" s="29">
        <v>44153</v>
      </c>
      <c r="C35" t="s">
        <v>316</v>
      </c>
      <c r="D35" s="25" t="s">
        <v>317</v>
      </c>
    </row>
    <row r="36" spans="1:7" x14ac:dyDescent="0.3">
      <c r="B36" s="29">
        <v>44165</v>
      </c>
      <c r="C36" t="s">
        <v>318</v>
      </c>
      <c r="D36" s="25" t="s">
        <v>319</v>
      </c>
    </row>
    <row r="37" spans="1:7" x14ac:dyDescent="0.3">
      <c r="A37" t="s">
        <v>325</v>
      </c>
      <c r="E37" s="39" t="s">
        <v>324</v>
      </c>
      <c r="F37" s="39" t="s">
        <v>301</v>
      </c>
    </row>
    <row r="38" spans="1:7" x14ac:dyDescent="0.3">
      <c r="B38" s="29">
        <v>44116</v>
      </c>
      <c r="C38" t="s">
        <v>291</v>
      </c>
      <c r="D38" s="25" t="s">
        <v>298</v>
      </c>
      <c r="G38" t="s">
        <v>299</v>
      </c>
    </row>
    <row r="39" spans="1:7" x14ac:dyDescent="0.3">
      <c r="B39" s="29" t="s">
        <v>326</v>
      </c>
      <c r="C39" t="s">
        <v>266</v>
      </c>
      <c r="D39" s="25" t="s">
        <v>300</v>
      </c>
    </row>
    <row r="40" spans="1:7" x14ac:dyDescent="0.3">
      <c r="B40" s="29">
        <v>44190</v>
      </c>
      <c r="C40" s="34" t="s">
        <v>302</v>
      </c>
      <c r="D40" s="25" t="s">
        <v>303</v>
      </c>
    </row>
    <row r="41" spans="1:7" x14ac:dyDescent="0.3">
      <c r="A41" t="s">
        <v>328</v>
      </c>
      <c r="E41" s="39" t="s">
        <v>254</v>
      </c>
      <c r="F41" s="39" t="s">
        <v>256</v>
      </c>
    </row>
    <row r="42" spans="1:7" x14ac:dyDescent="0.3">
      <c r="B42" s="29">
        <v>44153</v>
      </c>
      <c r="C42" t="s">
        <v>103</v>
      </c>
      <c r="D42" s="45" t="s">
        <v>323</v>
      </c>
    </row>
    <row r="43" spans="1:7" x14ac:dyDescent="0.3">
      <c r="B43" s="29">
        <v>44160</v>
      </c>
      <c r="C43" t="s">
        <v>320</v>
      </c>
      <c r="D43" s="45" t="s">
        <v>303</v>
      </c>
    </row>
    <row r="44" spans="1:7" x14ac:dyDescent="0.3">
      <c r="B44" s="29" t="s">
        <v>321</v>
      </c>
      <c r="C44" t="s">
        <v>322</v>
      </c>
      <c r="D44" s="25" t="s">
        <v>327</v>
      </c>
    </row>
    <row r="45" spans="1:7" x14ac:dyDescent="0.3">
      <c r="B45" s="29">
        <v>44166</v>
      </c>
      <c r="C45" t="s">
        <v>322</v>
      </c>
      <c r="D45" s="25" t="s">
        <v>271</v>
      </c>
    </row>
    <row r="46" spans="1:7" x14ac:dyDescent="0.3">
      <c r="A46" t="s">
        <v>329</v>
      </c>
      <c r="E46" s="39" t="s">
        <v>255</v>
      </c>
      <c r="F46" s="39" t="s">
        <v>256</v>
      </c>
    </row>
    <row r="47" spans="1:7" x14ac:dyDescent="0.3">
      <c r="B47" s="29">
        <v>44153</v>
      </c>
      <c r="C47" t="s">
        <v>103</v>
      </c>
      <c r="D47" s="45" t="s">
        <v>323</v>
      </c>
    </row>
    <row r="48" spans="1:7" x14ac:dyDescent="0.3">
      <c r="B48" s="29">
        <v>44160</v>
      </c>
      <c r="C48" t="s">
        <v>320</v>
      </c>
      <c r="D48" s="45" t="s">
        <v>303</v>
      </c>
    </row>
    <row r="49" spans="1:6" x14ac:dyDescent="0.3">
      <c r="B49" s="29">
        <v>44165</v>
      </c>
      <c r="C49" t="s">
        <v>322</v>
      </c>
      <c r="D49" s="25" t="s">
        <v>327</v>
      </c>
    </row>
    <row r="50" spans="1:6" x14ac:dyDescent="0.3">
      <c r="B50" s="29" t="s">
        <v>330</v>
      </c>
      <c r="C50" t="s">
        <v>322</v>
      </c>
      <c r="D50" s="25" t="s">
        <v>271</v>
      </c>
    </row>
    <row r="51" spans="1:6" x14ac:dyDescent="0.3">
      <c r="A51" t="s">
        <v>331</v>
      </c>
      <c r="E51" s="39" t="s">
        <v>324</v>
      </c>
      <c r="F51" s="39" t="s">
        <v>301</v>
      </c>
    </row>
    <row r="52" spans="1:6" x14ac:dyDescent="0.3">
      <c r="B52" s="29">
        <v>44173</v>
      </c>
      <c r="C52" s="34" t="s">
        <v>332</v>
      </c>
      <c r="D52" s="25" t="s">
        <v>276</v>
      </c>
    </row>
    <row r="53" spans="1:6" x14ac:dyDescent="0.3">
      <c r="B53" s="29">
        <v>44181</v>
      </c>
      <c r="C53" s="34" t="s">
        <v>332</v>
      </c>
      <c r="D53" s="25" t="s">
        <v>276</v>
      </c>
    </row>
    <row r="54" spans="1:6" x14ac:dyDescent="0.3">
      <c r="B54" s="29">
        <v>44188</v>
      </c>
      <c r="C54" s="34" t="s">
        <v>332</v>
      </c>
      <c r="D54" s="25" t="s">
        <v>333</v>
      </c>
    </row>
    <row r="55" spans="1:6" x14ac:dyDescent="0.3">
      <c r="B55" s="29" t="s">
        <v>334</v>
      </c>
      <c r="C55" t="s">
        <v>291</v>
      </c>
      <c r="D55" s="25" t="s">
        <v>335</v>
      </c>
    </row>
    <row r="57" spans="1:6" x14ac:dyDescent="0.3">
      <c r="A57" s="76">
        <v>1894</v>
      </c>
      <c r="B57" s="76"/>
      <c r="C57" s="76"/>
      <c r="D57" s="76"/>
    </row>
    <row r="58" spans="1:6" x14ac:dyDescent="0.3">
      <c r="A58" t="s">
        <v>336</v>
      </c>
      <c r="E58" s="33" t="s">
        <v>253</v>
      </c>
      <c r="F58" s="33" t="s">
        <v>337</v>
      </c>
    </row>
    <row r="59" spans="1:6" x14ac:dyDescent="0.3">
      <c r="B59" s="29" t="s">
        <v>297</v>
      </c>
      <c r="C59" t="s">
        <v>291</v>
      </c>
      <c r="D59" s="25" t="s">
        <v>338</v>
      </c>
    </row>
    <row r="60" spans="1:6" x14ac:dyDescent="0.3">
      <c r="B60" s="29">
        <v>44124</v>
      </c>
      <c r="C60" t="s">
        <v>266</v>
      </c>
      <c r="D60" s="25" t="s">
        <v>287</v>
      </c>
    </row>
    <row r="61" spans="1:6" x14ac:dyDescent="0.3">
      <c r="B61" s="29">
        <v>44128</v>
      </c>
      <c r="C61" t="s">
        <v>339</v>
      </c>
      <c r="D61" s="25" t="s">
        <v>340</v>
      </c>
    </row>
    <row r="62" spans="1:6" x14ac:dyDescent="0.3">
      <c r="B62" s="29">
        <v>44131</v>
      </c>
      <c r="C62" t="s">
        <v>341</v>
      </c>
      <c r="D62" s="25" t="s">
        <v>342</v>
      </c>
    </row>
    <row r="63" spans="1:6" x14ac:dyDescent="0.3">
      <c r="B63" s="29">
        <v>44135</v>
      </c>
      <c r="C63" t="s">
        <v>343</v>
      </c>
      <c r="D63" s="25" t="s">
        <v>344</v>
      </c>
    </row>
    <row r="64" spans="1:6" x14ac:dyDescent="0.3">
      <c r="B64" s="29">
        <v>44136</v>
      </c>
      <c r="C64" t="s">
        <v>345</v>
      </c>
      <c r="D64" s="25" t="s">
        <v>346</v>
      </c>
    </row>
    <row r="65" spans="1:7" x14ac:dyDescent="0.3">
      <c r="B65" s="29">
        <v>44138</v>
      </c>
      <c r="C65" t="s">
        <v>347</v>
      </c>
      <c r="D65" s="25" t="s">
        <v>348</v>
      </c>
    </row>
    <row r="66" spans="1:7" x14ac:dyDescent="0.3">
      <c r="B66" s="29">
        <v>44145</v>
      </c>
      <c r="C66" t="s">
        <v>349</v>
      </c>
      <c r="D66" s="25" t="s">
        <v>340</v>
      </c>
    </row>
    <row r="67" spans="1:7" x14ac:dyDescent="0.3">
      <c r="B67" s="29">
        <v>44157</v>
      </c>
      <c r="C67" t="s">
        <v>350</v>
      </c>
      <c r="D67" s="25" t="s">
        <v>351</v>
      </c>
    </row>
    <row r="68" spans="1:7" x14ac:dyDescent="0.3">
      <c r="A68" t="s">
        <v>352</v>
      </c>
      <c r="E68" s="33" t="s">
        <v>324</v>
      </c>
      <c r="F68" s="33" t="s">
        <v>337</v>
      </c>
    </row>
    <row r="69" spans="1:7" x14ac:dyDescent="0.3">
      <c r="B69" s="29">
        <v>44116</v>
      </c>
      <c r="C69" t="s">
        <v>291</v>
      </c>
      <c r="D69" s="25" t="s">
        <v>338</v>
      </c>
    </row>
    <row r="70" spans="1:7" x14ac:dyDescent="0.3">
      <c r="B70" s="29" t="s">
        <v>274</v>
      </c>
      <c r="C70" t="s">
        <v>266</v>
      </c>
      <c r="D70" s="25" t="s">
        <v>287</v>
      </c>
    </row>
    <row r="71" spans="1:7" x14ac:dyDescent="0.3">
      <c r="B71" s="29">
        <v>44128</v>
      </c>
      <c r="C71" t="s">
        <v>339</v>
      </c>
      <c r="D71" s="25" t="s">
        <v>340</v>
      </c>
    </row>
    <row r="72" spans="1:7" x14ac:dyDescent="0.3">
      <c r="B72" s="29">
        <v>44131</v>
      </c>
      <c r="C72" t="s">
        <v>341</v>
      </c>
      <c r="D72" s="25" t="s">
        <v>342</v>
      </c>
    </row>
    <row r="73" spans="1:7" x14ac:dyDescent="0.3">
      <c r="B73" s="29">
        <v>44135</v>
      </c>
      <c r="C73" t="s">
        <v>343</v>
      </c>
      <c r="D73" s="25" t="s">
        <v>344</v>
      </c>
    </row>
    <row r="74" spans="1:7" x14ac:dyDescent="0.3">
      <c r="B74" s="29">
        <v>44136</v>
      </c>
      <c r="C74" t="s">
        <v>345</v>
      </c>
      <c r="D74" s="25" t="s">
        <v>346</v>
      </c>
    </row>
    <row r="75" spans="1:7" x14ac:dyDescent="0.3">
      <c r="B75" s="29">
        <v>44138</v>
      </c>
      <c r="C75" t="s">
        <v>347</v>
      </c>
      <c r="D75" s="25" t="s">
        <v>348</v>
      </c>
    </row>
    <row r="76" spans="1:7" x14ac:dyDescent="0.3">
      <c r="B76" s="29">
        <v>44145</v>
      </c>
      <c r="C76" t="s">
        <v>349</v>
      </c>
      <c r="D76" s="25" t="s">
        <v>340</v>
      </c>
    </row>
    <row r="77" spans="1:7" x14ac:dyDescent="0.3">
      <c r="B77" s="29">
        <v>44157</v>
      </c>
      <c r="C77" t="s">
        <v>350</v>
      </c>
      <c r="D77" s="25" t="s">
        <v>351</v>
      </c>
    </row>
    <row r="78" spans="1:7" x14ac:dyDescent="0.3">
      <c r="A78" t="s">
        <v>353</v>
      </c>
      <c r="E78" s="33" t="s">
        <v>254</v>
      </c>
      <c r="F78" s="33" t="s">
        <v>301</v>
      </c>
      <c r="G78" s="34" t="s">
        <v>354</v>
      </c>
    </row>
    <row r="79" spans="1:7" x14ac:dyDescent="0.3">
      <c r="B79" s="29">
        <v>44128</v>
      </c>
      <c r="C79" t="s">
        <v>314</v>
      </c>
      <c r="D79" s="25" t="s">
        <v>355</v>
      </c>
    </row>
    <row r="80" spans="1:7" x14ac:dyDescent="0.3">
      <c r="B80" s="29" t="s">
        <v>356</v>
      </c>
      <c r="C80" t="s">
        <v>291</v>
      </c>
      <c r="D80" s="25" t="s">
        <v>357</v>
      </c>
    </row>
    <row r="81" spans="1:6" x14ac:dyDescent="0.3">
      <c r="A81" t="s">
        <v>358</v>
      </c>
      <c r="E81" s="39" t="s">
        <v>254</v>
      </c>
      <c r="F81" s="39" t="s">
        <v>254</v>
      </c>
    </row>
    <row r="82" spans="1:6" x14ac:dyDescent="0.3">
      <c r="B82" s="29">
        <v>44159</v>
      </c>
      <c r="C82" t="s">
        <v>359</v>
      </c>
      <c r="D82" s="25" t="s">
        <v>360</v>
      </c>
    </row>
    <row r="83" spans="1:6" x14ac:dyDescent="0.3">
      <c r="A83" t="s">
        <v>361</v>
      </c>
      <c r="E83" s="33" t="s">
        <v>253</v>
      </c>
      <c r="F83" s="33" t="s">
        <v>258</v>
      </c>
    </row>
    <row r="84" spans="1:6" x14ac:dyDescent="0.3">
      <c r="B84" s="29" t="s">
        <v>362</v>
      </c>
      <c r="C84" t="s">
        <v>291</v>
      </c>
      <c r="D84" s="25" t="s">
        <v>363</v>
      </c>
    </row>
    <row r="86" spans="1:6" x14ac:dyDescent="0.3">
      <c r="A86" s="76">
        <v>1895</v>
      </c>
      <c r="B86" s="76"/>
      <c r="C86" s="76"/>
      <c r="D86" s="76"/>
    </row>
    <row r="87" spans="1:6" x14ac:dyDescent="0.3">
      <c r="A87" t="s">
        <v>364</v>
      </c>
      <c r="E87" s="33" t="s">
        <v>253</v>
      </c>
      <c r="F87" s="33" t="s">
        <v>366</v>
      </c>
    </row>
    <row r="88" spans="1:6" x14ac:dyDescent="0.3">
      <c r="B88" s="29" t="s">
        <v>297</v>
      </c>
      <c r="C88" t="s">
        <v>291</v>
      </c>
      <c r="D88" s="25" t="s">
        <v>365</v>
      </c>
    </row>
    <row r="89" spans="1:6" x14ac:dyDescent="0.3">
      <c r="B89" s="29">
        <v>44123</v>
      </c>
      <c r="C89" t="s">
        <v>86</v>
      </c>
      <c r="D89" s="25" t="s">
        <v>367</v>
      </c>
    </row>
    <row r="90" spans="1:6" x14ac:dyDescent="0.3">
      <c r="B90" s="29">
        <v>44130</v>
      </c>
      <c r="C90" t="s">
        <v>368</v>
      </c>
      <c r="D90" s="25" t="s">
        <v>357</v>
      </c>
    </row>
    <row r="91" spans="1:6" x14ac:dyDescent="0.3">
      <c r="B91" s="29">
        <v>44132</v>
      </c>
      <c r="C91" t="s">
        <v>369</v>
      </c>
      <c r="D91" s="25" t="s">
        <v>333</v>
      </c>
    </row>
    <row r="92" spans="1:6" x14ac:dyDescent="0.3">
      <c r="B92" s="29">
        <v>44133</v>
      </c>
      <c r="C92" t="s">
        <v>370</v>
      </c>
      <c r="D92" s="25" t="s">
        <v>371</v>
      </c>
    </row>
    <row r="93" spans="1:6" x14ac:dyDescent="0.3">
      <c r="B93" s="29">
        <v>44135</v>
      </c>
      <c r="C93" t="s">
        <v>368</v>
      </c>
      <c r="D93" s="25" t="s">
        <v>293</v>
      </c>
    </row>
    <row r="94" spans="1:6" x14ac:dyDescent="0.3">
      <c r="B94" s="29">
        <v>44144</v>
      </c>
      <c r="C94" t="s">
        <v>372</v>
      </c>
      <c r="D94" s="25" t="s">
        <v>287</v>
      </c>
    </row>
    <row r="95" spans="1:6" x14ac:dyDescent="0.3">
      <c r="B95" s="29">
        <v>44151</v>
      </c>
      <c r="C95" t="s">
        <v>373</v>
      </c>
      <c r="D95" s="25" t="s">
        <v>374</v>
      </c>
    </row>
    <row r="96" spans="1:6" x14ac:dyDescent="0.3">
      <c r="B96" s="29">
        <v>44163</v>
      </c>
      <c r="C96" t="s">
        <v>350</v>
      </c>
      <c r="D96" s="25" t="s">
        <v>375</v>
      </c>
    </row>
    <row r="97" spans="1:7" x14ac:dyDescent="0.3">
      <c r="A97" t="s">
        <v>376</v>
      </c>
      <c r="E97" s="33" t="s">
        <v>254</v>
      </c>
      <c r="F97" s="33" t="s">
        <v>379</v>
      </c>
    </row>
    <row r="98" spans="1:7" x14ac:dyDescent="0.3">
      <c r="B98" s="29">
        <v>44114</v>
      </c>
      <c r="C98" t="s">
        <v>377</v>
      </c>
      <c r="D98" s="25" t="s">
        <v>378</v>
      </c>
    </row>
    <row r="99" spans="1:7" x14ac:dyDescent="0.3">
      <c r="B99" s="29" t="s">
        <v>380</v>
      </c>
      <c r="C99" t="s">
        <v>266</v>
      </c>
      <c r="D99" s="25" t="s">
        <v>381</v>
      </c>
    </row>
    <row r="100" spans="1:7" x14ac:dyDescent="0.3">
      <c r="B100" s="29">
        <v>44123</v>
      </c>
      <c r="C100" t="s">
        <v>314</v>
      </c>
      <c r="D100" s="25" t="s">
        <v>351</v>
      </c>
    </row>
    <row r="101" spans="1:7" x14ac:dyDescent="0.3">
      <c r="B101" s="29">
        <v>44137</v>
      </c>
      <c r="C101" t="s">
        <v>697</v>
      </c>
      <c r="D101" s="25" t="s">
        <v>371</v>
      </c>
    </row>
    <row r="102" spans="1:7" x14ac:dyDescent="0.3">
      <c r="B102" s="29">
        <v>44146</v>
      </c>
      <c r="C102" t="s">
        <v>1331</v>
      </c>
      <c r="D102" s="25" t="s">
        <v>382</v>
      </c>
    </row>
    <row r="103" spans="1:7" x14ac:dyDescent="0.3">
      <c r="B103" s="29">
        <v>44147</v>
      </c>
      <c r="C103" t="s">
        <v>383</v>
      </c>
      <c r="D103" s="25" t="s">
        <v>384</v>
      </c>
    </row>
    <row r="104" spans="1:7" x14ac:dyDescent="0.3">
      <c r="A104" t="s">
        <v>385</v>
      </c>
      <c r="E104" s="33" t="s">
        <v>253</v>
      </c>
      <c r="F104" s="33" t="s">
        <v>386</v>
      </c>
      <c r="G104" t="s">
        <v>387</v>
      </c>
    </row>
    <row r="105" spans="1:7" x14ac:dyDescent="0.3">
      <c r="B105" s="29" t="s">
        <v>388</v>
      </c>
      <c r="C105" t="s">
        <v>266</v>
      </c>
      <c r="D105" s="25" t="s">
        <v>389</v>
      </c>
    </row>
    <row r="106" spans="1:7" x14ac:dyDescent="0.3">
      <c r="A106" t="s">
        <v>1332</v>
      </c>
      <c r="E106" s="33" t="s">
        <v>324</v>
      </c>
      <c r="F106" s="33" t="s">
        <v>390</v>
      </c>
    </row>
    <row r="107" spans="1:7" x14ac:dyDescent="0.3">
      <c r="B107" s="29">
        <v>44116</v>
      </c>
      <c r="C107" t="s">
        <v>286</v>
      </c>
      <c r="D107" s="25" t="s">
        <v>391</v>
      </c>
    </row>
    <row r="108" spans="1:7" x14ac:dyDescent="0.3">
      <c r="B108" s="29" t="s">
        <v>397</v>
      </c>
      <c r="C108" t="s">
        <v>322</v>
      </c>
      <c r="D108" s="25" t="s">
        <v>392</v>
      </c>
    </row>
    <row r="109" spans="1:7" x14ac:dyDescent="0.3">
      <c r="B109" s="29">
        <v>44137</v>
      </c>
      <c r="C109" t="s">
        <v>175</v>
      </c>
      <c r="D109" s="25" t="s">
        <v>393</v>
      </c>
    </row>
    <row r="110" spans="1:7" x14ac:dyDescent="0.3">
      <c r="B110" s="29">
        <v>44146</v>
      </c>
      <c r="C110" t="s">
        <v>86</v>
      </c>
      <c r="D110" s="25" t="s">
        <v>338</v>
      </c>
    </row>
    <row r="111" spans="1:7" x14ac:dyDescent="0.3">
      <c r="B111" s="29">
        <v>44152</v>
      </c>
      <c r="C111" t="s">
        <v>394</v>
      </c>
      <c r="D111" s="25" t="s">
        <v>395</v>
      </c>
    </row>
    <row r="112" spans="1:7" x14ac:dyDescent="0.3">
      <c r="B112" s="29">
        <v>44163</v>
      </c>
      <c r="C112" t="s">
        <v>373</v>
      </c>
      <c r="D112" s="25" t="s">
        <v>396</v>
      </c>
    </row>
    <row r="113" spans="1:6" x14ac:dyDescent="0.3">
      <c r="A113" t="s">
        <v>398</v>
      </c>
      <c r="E113" s="39" t="s">
        <v>253</v>
      </c>
      <c r="F113" s="39" t="s">
        <v>400</v>
      </c>
    </row>
    <row r="114" spans="1:6" x14ac:dyDescent="0.3">
      <c r="B114" s="29" t="s">
        <v>399</v>
      </c>
      <c r="C114" t="s">
        <v>291</v>
      </c>
      <c r="D114" s="25" t="s">
        <v>371</v>
      </c>
    </row>
    <row r="115" spans="1:6" x14ac:dyDescent="0.3">
      <c r="B115" s="29">
        <v>44190</v>
      </c>
      <c r="C115" t="s">
        <v>80</v>
      </c>
      <c r="D115" s="25" t="s">
        <v>396</v>
      </c>
    </row>
    <row r="116" spans="1:6" x14ac:dyDescent="0.3">
      <c r="A116" t="s">
        <v>401</v>
      </c>
      <c r="E116" s="33" t="s">
        <v>324</v>
      </c>
      <c r="F116" s="33" t="s">
        <v>301</v>
      </c>
    </row>
    <row r="117" spans="1:6" x14ac:dyDescent="0.3">
      <c r="B117" s="29">
        <v>44158</v>
      </c>
      <c r="C117" s="34" t="s">
        <v>405</v>
      </c>
      <c r="D117" s="25" t="s">
        <v>402</v>
      </c>
    </row>
    <row r="118" spans="1:6" x14ac:dyDescent="0.3">
      <c r="B118" s="29" t="s">
        <v>403</v>
      </c>
      <c r="C118" t="s">
        <v>291</v>
      </c>
      <c r="D118" s="25" t="s">
        <v>404</v>
      </c>
    </row>
    <row r="120" spans="1:6" x14ac:dyDescent="0.3">
      <c r="A120" s="76">
        <v>1896</v>
      </c>
      <c r="B120" s="76"/>
      <c r="C120" s="76"/>
      <c r="D120" s="76"/>
    </row>
    <row r="121" spans="1:6" x14ac:dyDescent="0.3">
      <c r="A121" t="s">
        <v>406</v>
      </c>
      <c r="E121" s="33" t="s">
        <v>407</v>
      </c>
      <c r="F121" s="33" t="s">
        <v>414</v>
      </c>
    </row>
    <row r="122" spans="1:6" x14ac:dyDescent="0.3">
      <c r="B122" s="29">
        <v>44114</v>
      </c>
      <c r="C122" t="s">
        <v>314</v>
      </c>
      <c r="D122" s="25" t="s">
        <v>408</v>
      </c>
    </row>
    <row r="123" spans="1:6" x14ac:dyDescent="0.3">
      <c r="B123" s="29">
        <v>44121</v>
      </c>
      <c r="C123" t="s">
        <v>65</v>
      </c>
      <c r="D123" s="25" t="s">
        <v>351</v>
      </c>
    </row>
    <row r="124" spans="1:6" x14ac:dyDescent="0.3">
      <c r="B124" s="29" t="s">
        <v>276</v>
      </c>
      <c r="C124" t="s">
        <v>409</v>
      </c>
      <c r="D124" s="25" t="s">
        <v>410</v>
      </c>
    </row>
    <row r="125" spans="1:6" x14ac:dyDescent="0.3">
      <c r="B125" s="29" t="s">
        <v>276</v>
      </c>
      <c r="C125" t="s">
        <v>409</v>
      </c>
      <c r="D125" s="25" t="s">
        <v>411</v>
      </c>
    </row>
    <row r="126" spans="1:6" x14ac:dyDescent="0.3">
      <c r="B126" s="29">
        <v>44149</v>
      </c>
      <c r="C126" t="s">
        <v>409</v>
      </c>
      <c r="D126" s="25" t="s">
        <v>412</v>
      </c>
    </row>
    <row r="127" spans="1:6" x14ac:dyDescent="0.3">
      <c r="B127" s="29">
        <v>44161</v>
      </c>
      <c r="C127" t="s">
        <v>413</v>
      </c>
      <c r="D127" s="25" t="s">
        <v>303</v>
      </c>
    </row>
    <row r="128" spans="1:6" x14ac:dyDescent="0.3">
      <c r="B128" s="29" t="s">
        <v>276</v>
      </c>
      <c r="C128" t="s">
        <v>291</v>
      </c>
      <c r="D128" s="25" t="s">
        <v>381</v>
      </c>
    </row>
    <row r="130" spans="1:6" x14ac:dyDescent="0.3">
      <c r="A130" s="76">
        <v>1897</v>
      </c>
      <c r="B130" s="76"/>
      <c r="C130" s="76"/>
      <c r="D130" s="76"/>
    </row>
    <row r="131" spans="1:6" x14ac:dyDescent="0.3">
      <c r="A131" t="s">
        <v>416</v>
      </c>
      <c r="E131" s="33" t="s">
        <v>253</v>
      </c>
      <c r="F131" s="33" t="s">
        <v>415</v>
      </c>
    </row>
    <row r="132" spans="1:6" x14ac:dyDescent="0.3">
      <c r="B132" s="29" t="s">
        <v>419</v>
      </c>
      <c r="C132" t="s">
        <v>266</v>
      </c>
      <c r="D132" s="25" t="s">
        <v>417</v>
      </c>
    </row>
    <row r="133" spans="1:6" x14ac:dyDescent="0.3">
      <c r="B133" s="29">
        <v>44113</v>
      </c>
      <c r="C133" t="s">
        <v>314</v>
      </c>
      <c r="D133" s="25" t="s">
        <v>418</v>
      </c>
    </row>
    <row r="134" spans="1:6" x14ac:dyDescent="0.3">
      <c r="B134" s="29">
        <v>44120</v>
      </c>
      <c r="C134" t="s">
        <v>409</v>
      </c>
      <c r="D134" s="25" t="s">
        <v>357</v>
      </c>
    </row>
    <row r="135" spans="1:6" x14ac:dyDescent="0.3">
      <c r="B135" s="29">
        <v>44126</v>
      </c>
      <c r="C135" t="s">
        <v>266</v>
      </c>
      <c r="D135" s="25" t="s">
        <v>391</v>
      </c>
    </row>
    <row r="136" spans="1:6" x14ac:dyDescent="0.3">
      <c r="A136" t="s">
        <v>420</v>
      </c>
      <c r="E136" s="33" t="s">
        <v>253</v>
      </c>
      <c r="F136" s="33" t="s">
        <v>421</v>
      </c>
    </row>
    <row r="137" spans="1:6" x14ac:dyDescent="0.3">
      <c r="B137" s="29" t="s">
        <v>422</v>
      </c>
      <c r="C137" t="s">
        <v>291</v>
      </c>
      <c r="D137" s="25" t="s">
        <v>284</v>
      </c>
    </row>
    <row r="138" spans="1:6" x14ac:dyDescent="0.3">
      <c r="B138" s="29">
        <v>44113</v>
      </c>
      <c r="C138" t="s">
        <v>103</v>
      </c>
      <c r="D138" s="25" t="s">
        <v>287</v>
      </c>
    </row>
    <row r="139" spans="1:6" x14ac:dyDescent="0.3">
      <c r="B139" s="29">
        <v>44126</v>
      </c>
      <c r="C139" t="s">
        <v>445</v>
      </c>
      <c r="D139" s="25" t="s">
        <v>423</v>
      </c>
    </row>
    <row r="140" spans="1:6" x14ac:dyDescent="0.3">
      <c r="B140" s="29">
        <v>44129</v>
      </c>
      <c r="C140" t="s">
        <v>133</v>
      </c>
      <c r="D140" s="25" t="s">
        <v>340</v>
      </c>
    </row>
    <row r="141" spans="1:6" x14ac:dyDescent="0.3">
      <c r="B141" s="29">
        <v>44134</v>
      </c>
      <c r="C141" t="s">
        <v>1213</v>
      </c>
      <c r="D141" s="25" t="s">
        <v>424</v>
      </c>
    </row>
    <row r="142" spans="1:6" x14ac:dyDescent="0.3">
      <c r="B142" s="29">
        <v>44140</v>
      </c>
      <c r="C142" t="s">
        <v>370</v>
      </c>
      <c r="D142" s="25" t="s">
        <v>319</v>
      </c>
    </row>
    <row r="143" spans="1:6" x14ac:dyDescent="0.3">
      <c r="B143" s="29">
        <v>44141</v>
      </c>
      <c r="C143" t="s">
        <v>369</v>
      </c>
      <c r="D143" s="25" t="s">
        <v>425</v>
      </c>
    </row>
    <row r="144" spans="1:6" x14ac:dyDescent="0.3">
      <c r="B144" s="29">
        <v>44143</v>
      </c>
      <c r="C144" t="s">
        <v>292</v>
      </c>
      <c r="D144" s="25" t="s">
        <v>287</v>
      </c>
    </row>
    <row r="145" spans="1:6" x14ac:dyDescent="0.3">
      <c r="B145" s="29">
        <v>44144</v>
      </c>
      <c r="C145" t="s">
        <v>426</v>
      </c>
      <c r="D145" s="25" t="s">
        <v>427</v>
      </c>
    </row>
    <row r="146" spans="1:6" x14ac:dyDescent="0.3">
      <c r="B146" s="29">
        <v>44160</v>
      </c>
      <c r="C146" t="s">
        <v>350</v>
      </c>
      <c r="D146" s="25" t="s">
        <v>428</v>
      </c>
    </row>
    <row r="147" spans="1:6" x14ac:dyDescent="0.3">
      <c r="A147" t="s">
        <v>429</v>
      </c>
      <c r="E147" s="33" t="s">
        <v>255</v>
      </c>
      <c r="F147" s="33" t="s">
        <v>430</v>
      </c>
    </row>
    <row r="148" spans="1:6" x14ac:dyDescent="0.3">
      <c r="B148" s="29">
        <v>44106</v>
      </c>
      <c r="C148" t="s">
        <v>431</v>
      </c>
      <c r="D148" s="25" t="s">
        <v>404</v>
      </c>
    </row>
    <row r="149" spans="1:6" x14ac:dyDescent="0.3">
      <c r="B149" s="29">
        <v>44113</v>
      </c>
      <c r="C149" t="s">
        <v>432</v>
      </c>
      <c r="D149" s="25" t="s">
        <v>433</v>
      </c>
    </row>
    <row r="150" spans="1:6" x14ac:dyDescent="0.3">
      <c r="B150" s="29" t="s">
        <v>434</v>
      </c>
      <c r="C150" t="s">
        <v>266</v>
      </c>
      <c r="D150" s="25" t="s">
        <v>417</v>
      </c>
    </row>
    <row r="151" spans="1:6" x14ac:dyDescent="0.3">
      <c r="B151" s="29">
        <v>44120</v>
      </c>
      <c r="C151" t="s">
        <v>189</v>
      </c>
      <c r="D151" s="25" t="s">
        <v>411</v>
      </c>
    </row>
    <row r="152" spans="1:6" x14ac:dyDescent="0.3">
      <c r="B152" s="29">
        <v>44134</v>
      </c>
      <c r="C152" t="s">
        <v>435</v>
      </c>
      <c r="D152" s="25" t="s">
        <v>395</v>
      </c>
    </row>
    <row r="153" spans="1:6" x14ac:dyDescent="0.3">
      <c r="B153" s="29">
        <v>44137</v>
      </c>
      <c r="C153" t="s">
        <v>697</v>
      </c>
      <c r="D153" s="25" t="s">
        <v>436</v>
      </c>
    </row>
    <row r="154" spans="1:6" x14ac:dyDescent="0.3">
      <c r="B154" s="29">
        <v>44140</v>
      </c>
      <c r="C154" t="s">
        <v>437</v>
      </c>
      <c r="D154" s="25" t="s">
        <v>363</v>
      </c>
    </row>
    <row r="155" spans="1:6" x14ac:dyDescent="0.3">
      <c r="B155" s="29">
        <v>44144</v>
      </c>
      <c r="C155" t="s">
        <v>161</v>
      </c>
      <c r="D155" s="25" t="s">
        <v>438</v>
      </c>
    </row>
    <row r="156" spans="1:6" x14ac:dyDescent="0.3">
      <c r="B156" s="29">
        <v>44148</v>
      </c>
      <c r="C156" t="s">
        <v>900</v>
      </c>
      <c r="D156" s="25" t="s">
        <v>439</v>
      </c>
    </row>
    <row r="157" spans="1:6" x14ac:dyDescent="0.3">
      <c r="A157" t="s">
        <v>440</v>
      </c>
      <c r="E157" s="39" t="s">
        <v>253</v>
      </c>
      <c r="F157" s="39" t="s">
        <v>254</v>
      </c>
    </row>
    <row r="158" spans="1:6" x14ac:dyDescent="0.3">
      <c r="B158" s="29" t="s">
        <v>441</v>
      </c>
      <c r="C158" t="s">
        <v>291</v>
      </c>
      <c r="D158" s="25" t="s">
        <v>442</v>
      </c>
    </row>
    <row r="160" spans="1:6" x14ac:dyDescent="0.3">
      <c r="A160" s="76">
        <v>1898</v>
      </c>
      <c r="B160" s="76"/>
      <c r="C160" s="76"/>
      <c r="D160" s="76"/>
    </row>
    <row r="161" spans="1:6" x14ac:dyDescent="0.3">
      <c r="A161" t="s">
        <v>443</v>
      </c>
      <c r="E161" s="33" t="s">
        <v>324</v>
      </c>
      <c r="F161" s="33" t="s">
        <v>444</v>
      </c>
    </row>
    <row r="162" spans="1:6" x14ac:dyDescent="0.3">
      <c r="B162" s="29">
        <v>44105</v>
      </c>
      <c r="C162" t="s">
        <v>103</v>
      </c>
      <c r="D162" s="25" t="s">
        <v>391</v>
      </c>
    </row>
    <row r="163" spans="1:6" x14ac:dyDescent="0.3">
      <c r="B163" s="29" t="s">
        <v>397</v>
      </c>
      <c r="C163" t="s">
        <v>291</v>
      </c>
      <c r="D163" s="25" t="s">
        <v>367</v>
      </c>
    </row>
    <row r="164" spans="1:6" x14ac:dyDescent="0.3">
      <c r="B164" s="29">
        <v>44124</v>
      </c>
      <c r="C164" t="s">
        <v>445</v>
      </c>
      <c r="D164" s="25" t="s">
        <v>446</v>
      </c>
    </row>
    <row r="165" spans="1:6" x14ac:dyDescent="0.3">
      <c r="B165" s="29">
        <v>44133</v>
      </c>
      <c r="C165" t="s">
        <v>55</v>
      </c>
      <c r="D165" s="25" t="s">
        <v>446</v>
      </c>
    </row>
    <row r="166" spans="1:6" x14ac:dyDescent="0.3">
      <c r="B166" s="29">
        <v>44139</v>
      </c>
      <c r="C166" t="s">
        <v>1214</v>
      </c>
      <c r="D166" s="25" t="s">
        <v>447</v>
      </c>
    </row>
    <row r="167" spans="1:6" x14ac:dyDescent="0.3">
      <c r="B167" s="29">
        <v>44140</v>
      </c>
      <c r="C167" t="s">
        <v>448</v>
      </c>
      <c r="D167" s="25" t="s">
        <v>446</v>
      </c>
    </row>
    <row r="168" spans="1:6" x14ac:dyDescent="0.3">
      <c r="B168" s="29">
        <v>44147</v>
      </c>
      <c r="C168" t="s">
        <v>449</v>
      </c>
      <c r="D168" s="25" t="s">
        <v>450</v>
      </c>
    </row>
    <row r="169" spans="1:6" x14ac:dyDescent="0.3">
      <c r="B169" s="29">
        <v>44150</v>
      </c>
      <c r="C169" t="s">
        <v>451</v>
      </c>
      <c r="D169" s="25" t="s">
        <v>452</v>
      </c>
    </row>
    <row r="170" spans="1:6" x14ac:dyDescent="0.3">
      <c r="B170" s="29">
        <v>44159</v>
      </c>
      <c r="C170" t="s">
        <v>453</v>
      </c>
      <c r="D170" s="25" t="s">
        <v>454</v>
      </c>
    </row>
    <row r="171" spans="1:6" x14ac:dyDescent="0.3">
      <c r="A171" t="s">
        <v>455</v>
      </c>
      <c r="E171" s="39" t="s">
        <v>324</v>
      </c>
      <c r="F171" s="39" t="s">
        <v>415</v>
      </c>
    </row>
    <row r="172" spans="1:6" x14ac:dyDescent="0.3">
      <c r="B172" s="29">
        <v>44125</v>
      </c>
      <c r="C172" s="34" t="s">
        <v>456</v>
      </c>
      <c r="D172" s="25" t="s">
        <v>457</v>
      </c>
    </row>
    <row r="173" spans="1:6" x14ac:dyDescent="0.3">
      <c r="B173" s="29" t="s">
        <v>290</v>
      </c>
      <c r="C173" t="s">
        <v>458</v>
      </c>
      <c r="D173" s="25" t="s">
        <v>357</v>
      </c>
    </row>
    <row r="174" spans="1:6" x14ac:dyDescent="0.3">
      <c r="B174" s="29">
        <v>44159</v>
      </c>
      <c r="C174" s="34" t="s">
        <v>119</v>
      </c>
      <c r="D174" s="25" t="s">
        <v>344</v>
      </c>
    </row>
    <row r="175" spans="1:6" x14ac:dyDescent="0.3">
      <c r="A175" t="s">
        <v>459</v>
      </c>
      <c r="E175" s="33" t="s">
        <v>255</v>
      </c>
      <c r="F175" s="33" t="s">
        <v>467</v>
      </c>
    </row>
    <row r="176" spans="1:6" x14ac:dyDescent="0.3">
      <c r="B176" s="29">
        <v>44121</v>
      </c>
      <c r="C176" t="s">
        <v>468</v>
      </c>
      <c r="D176" s="25" t="s">
        <v>460</v>
      </c>
    </row>
    <row r="177" spans="1:6" x14ac:dyDescent="0.3">
      <c r="B177" s="29">
        <v>44147</v>
      </c>
      <c r="C177" t="s">
        <v>469</v>
      </c>
      <c r="D177" s="25" t="s">
        <v>461</v>
      </c>
    </row>
    <row r="178" spans="1:6" x14ac:dyDescent="0.3">
      <c r="B178" s="29" t="s">
        <v>462</v>
      </c>
      <c r="C178" t="s">
        <v>463</v>
      </c>
      <c r="D178" s="25" t="s">
        <v>464</v>
      </c>
    </row>
    <row r="179" spans="1:6" x14ac:dyDescent="0.3">
      <c r="B179" s="29">
        <v>44159</v>
      </c>
      <c r="C179" t="s">
        <v>465</v>
      </c>
      <c r="D179" s="25" t="s">
        <v>466</v>
      </c>
    </row>
    <row r="180" spans="1:6" x14ac:dyDescent="0.3">
      <c r="A180" t="s">
        <v>470</v>
      </c>
      <c r="E180" s="33" t="s">
        <v>255</v>
      </c>
      <c r="F180" s="33" t="s">
        <v>256</v>
      </c>
    </row>
    <row r="181" spans="1:6" x14ac:dyDescent="0.3">
      <c r="B181" s="29">
        <v>44105</v>
      </c>
      <c r="C181" t="s">
        <v>314</v>
      </c>
      <c r="D181" s="25" t="s">
        <v>471</v>
      </c>
    </row>
    <row r="182" spans="1:6" x14ac:dyDescent="0.3">
      <c r="B182" s="29">
        <v>44140</v>
      </c>
      <c r="C182" t="s">
        <v>1215</v>
      </c>
      <c r="D182" s="25" t="s">
        <v>472</v>
      </c>
    </row>
    <row r="183" spans="1:6" x14ac:dyDescent="0.3">
      <c r="B183" s="29" t="s">
        <v>473</v>
      </c>
      <c r="C183" t="s">
        <v>266</v>
      </c>
      <c r="D183" s="25" t="s">
        <v>474</v>
      </c>
    </row>
    <row r="185" spans="1:6" x14ac:dyDescent="0.3">
      <c r="A185" s="76">
        <v>1899</v>
      </c>
      <c r="B185" s="76"/>
      <c r="C185" s="76"/>
      <c r="D185" s="76"/>
    </row>
    <row r="186" spans="1:6" x14ac:dyDescent="0.3">
      <c r="A186" t="s">
        <v>475</v>
      </c>
      <c r="E186" s="33" t="s">
        <v>253</v>
      </c>
      <c r="F186" s="33" t="s">
        <v>477</v>
      </c>
    </row>
    <row r="187" spans="1:6" x14ac:dyDescent="0.3">
      <c r="B187" s="29" t="s">
        <v>476</v>
      </c>
      <c r="C187" t="s">
        <v>291</v>
      </c>
      <c r="D187" s="25" t="s">
        <v>367</v>
      </c>
    </row>
    <row r="188" spans="1:6" x14ac:dyDescent="0.3">
      <c r="B188" s="29">
        <v>44116</v>
      </c>
      <c r="C188" t="s">
        <v>55</v>
      </c>
      <c r="D188" s="25" t="s">
        <v>287</v>
      </c>
    </row>
    <row r="189" spans="1:6" x14ac:dyDescent="0.3">
      <c r="B189" s="29">
        <v>44118</v>
      </c>
      <c r="C189" t="s">
        <v>103</v>
      </c>
      <c r="D189" s="25" t="s">
        <v>478</v>
      </c>
    </row>
    <row r="190" spans="1:6" x14ac:dyDescent="0.3">
      <c r="B190" s="29">
        <v>44125</v>
      </c>
      <c r="C190" t="s">
        <v>448</v>
      </c>
      <c r="D190" s="25" t="s">
        <v>410</v>
      </c>
    </row>
    <row r="191" spans="1:6" x14ac:dyDescent="0.3">
      <c r="B191" s="29">
        <v>44127</v>
      </c>
      <c r="C191" t="s">
        <v>116</v>
      </c>
      <c r="D191" s="25" t="s">
        <v>479</v>
      </c>
    </row>
    <row r="192" spans="1:6" x14ac:dyDescent="0.3">
      <c r="B192" s="29">
        <v>44132</v>
      </c>
      <c r="C192" t="s">
        <v>266</v>
      </c>
      <c r="D192" s="25" t="s">
        <v>480</v>
      </c>
    </row>
    <row r="193" spans="1:7" x14ac:dyDescent="0.3">
      <c r="B193" s="29">
        <v>44135</v>
      </c>
      <c r="C193" t="s">
        <v>128</v>
      </c>
      <c r="D193" s="25" t="s">
        <v>357</v>
      </c>
    </row>
    <row r="194" spans="1:7" x14ac:dyDescent="0.3">
      <c r="B194" s="29">
        <v>44139</v>
      </c>
      <c r="C194" t="s">
        <v>481</v>
      </c>
      <c r="D194" s="25" t="s">
        <v>428</v>
      </c>
    </row>
    <row r="195" spans="1:7" x14ac:dyDescent="0.3">
      <c r="B195" s="29">
        <v>44143</v>
      </c>
      <c r="C195" t="s">
        <v>482</v>
      </c>
      <c r="D195" s="25" t="s">
        <v>483</v>
      </c>
    </row>
    <row r="196" spans="1:7" x14ac:dyDescent="0.3">
      <c r="B196" s="29">
        <v>44165</v>
      </c>
      <c r="C196" t="s">
        <v>484</v>
      </c>
      <c r="D196" s="25" t="s">
        <v>485</v>
      </c>
    </row>
    <row r="197" spans="1:7" x14ac:dyDescent="0.3">
      <c r="B197" s="29">
        <v>44167</v>
      </c>
      <c r="C197" t="s">
        <v>341</v>
      </c>
      <c r="D197" s="25" t="s">
        <v>346</v>
      </c>
    </row>
    <row r="198" spans="1:7" x14ac:dyDescent="0.3">
      <c r="A198" t="s">
        <v>486</v>
      </c>
      <c r="E198" s="33" t="s">
        <v>254</v>
      </c>
      <c r="F198" s="33" t="s">
        <v>256</v>
      </c>
    </row>
    <row r="199" spans="1:7" x14ac:dyDescent="0.3">
      <c r="B199" s="29">
        <v>44111</v>
      </c>
      <c r="C199" t="s">
        <v>320</v>
      </c>
      <c r="D199" s="25" t="s">
        <v>487</v>
      </c>
    </row>
    <row r="200" spans="1:7" x14ac:dyDescent="0.3">
      <c r="B200" s="29">
        <v>44118</v>
      </c>
      <c r="C200" t="s">
        <v>116</v>
      </c>
      <c r="D200" s="45" t="s">
        <v>489</v>
      </c>
      <c r="G200" s="34" t="s">
        <v>488</v>
      </c>
    </row>
    <row r="201" spans="1:7" x14ac:dyDescent="0.3">
      <c r="B201" s="29" t="s">
        <v>278</v>
      </c>
      <c r="C201" t="s">
        <v>266</v>
      </c>
      <c r="D201" s="35" t="s">
        <v>471</v>
      </c>
      <c r="G201" s="34"/>
    </row>
    <row r="202" spans="1:7" x14ac:dyDescent="0.3">
      <c r="B202" s="29">
        <v>44146</v>
      </c>
      <c r="C202" t="s">
        <v>103</v>
      </c>
      <c r="D202" s="25" t="s">
        <v>381</v>
      </c>
    </row>
    <row r="203" spans="1:7" x14ac:dyDescent="0.3">
      <c r="A203" t="s">
        <v>490</v>
      </c>
      <c r="E203" s="33" t="s">
        <v>492</v>
      </c>
      <c r="F203" s="33" t="s">
        <v>477</v>
      </c>
    </row>
    <row r="204" spans="1:7" x14ac:dyDescent="0.3">
      <c r="B204" s="29">
        <v>44111</v>
      </c>
      <c r="C204" t="s">
        <v>291</v>
      </c>
      <c r="D204" s="25" t="s">
        <v>367</v>
      </c>
    </row>
    <row r="205" spans="1:7" x14ac:dyDescent="0.3">
      <c r="B205" s="29">
        <v>44116</v>
      </c>
      <c r="C205" t="s">
        <v>55</v>
      </c>
      <c r="D205" s="25" t="s">
        <v>287</v>
      </c>
    </row>
    <row r="206" spans="1:7" x14ac:dyDescent="0.3">
      <c r="B206" s="29">
        <v>44118</v>
      </c>
      <c r="C206" t="s">
        <v>103</v>
      </c>
      <c r="D206" s="25" t="s">
        <v>478</v>
      </c>
    </row>
    <row r="207" spans="1:7" x14ac:dyDescent="0.3">
      <c r="B207" s="29">
        <v>44125</v>
      </c>
      <c r="C207" t="s">
        <v>448</v>
      </c>
      <c r="D207" s="25" t="s">
        <v>410</v>
      </c>
    </row>
    <row r="208" spans="1:7" x14ac:dyDescent="0.3">
      <c r="B208" s="29">
        <v>44127</v>
      </c>
      <c r="C208" t="s">
        <v>116</v>
      </c>
      <c r="D208" s="25" t="s">
        <v>479</v>
      </c>
    </row>
    <row r="209" spans="1:7" x14ac:dyDescent="0.3">
      <c r="B209" s="29" t="s">
        <v>491</v>
      </c>
      <c r="C209" t="s">
        <v>266</v>
      </c>
      <c r="D209" s="25" t="s">
        <v>480</v>
      </c>
    </row>
    <row r="210" spans="1:7" x14ac:dyDescent="0.3">
      <c r="B210" s="29">
        <v>44135</v>
      </c>
      <c r="C210" t="s">
        <v>128</v>
      </c>
      <c r="D210" s="25" t="s">
        <v>357</v>
      </c>
    </row>
    <row r="211" spans="1:7" x14ac:dyDescent="0.3">
      <c r="B211" s="29">
        <v>44139</v>
      </c>
      <c r="C211" t="s">
        <v>481</v>
      </c>
      <c r="D211" s="25" t="s">
        <v>428</v>
      </c>
    </row>
    <row r="212" spans="1:7" x14ac:dyDescent="0.3">
      <c r="B212" s="29">
        <v>44143</v>
      </c>
      <c r="C212" t="s">
        <v>482</v>
      </c>
      <c r="D212" s="25" t="s">
        <v>483</v>
      </c>
    </row>
    <row r="213" spans="1:7" x14ac:dyDescent="0.3">
      <c r="B213" s="29">
        <v>44165</v>
      </c>
      <c r="C213" t="s">
        <v>484</v>
      </c>
      <c r="D213" s="25" t="s">
        <v>485</v>
      </c>
    </row>
    <row r="214" spans="1:7" x14ac:dyDescent="0.3">
      <c r="B214" s="29">
        <v>44167</v>
      </c>
      <c r="C214" t="s">
        <v>341</v>
      </c>
      <c r="D214" s="25" t="s">
        <v>346</v>
      </c>
    </row>
    <row r="215" spans="1:7" x14ac:dyDescent="0.3">
      <c r="A215" t="s">
        <v>504</v>
      </c>
      <c r="E215" s="33" t="s">
        <v>415</v>
      </c>
      <c r="F215" s="33" t="s">
        <v>503</v>
      </c>
    </row>
    <row r="216" spans="1:7" x14ac:dyDescent="0.3">
      <c r="B216" s="29">
        <v>44115</v>
      </c>
      <c r="C216" t="s">
        <v>499</v>
      </c>
      <c r="D216" s="25" t="s">
        <v>393</v>
      </c>
    </row>
    <row r="217" spans="1:7" x14ac:dyDescent="0.3">
      <c r="B217" s="29">
        <v>44123</v>
      </c>
      <c r="C217" t="s">
        <v>493</v>
      </c>
      <c r="D217" s="25" t="s">
        <v>494</v>
      </c>
    </row>
    <row r="218" spans="1:7" x14ac:dyDescent="0.3">
      <c r="B218" s="29">
        <v>44125</v>
      </c>
      <c r="C218" t="s">
        <v>496</v>
      </c>
      <c r="D218" s="25" t="s">
        <v>417</v>
      </c>
    </row>
    <row r="219" spans="1:7" x14ac:dyDescent="0.3">
      <c r="B219" s="29">
        <v>44135</v>
      </c>
      <c r="C219" t="s">
        <v>314</v>
      </c>
      <c r="D219" s="25" t="s">
        <v>381</v>
      </c>
    </row>
    <row r="220" spans="1:7" x14ac:dyDescent="0.3">
      <c r="B220" s="29" t="s">
        <v>491</v>
      </c>
      <c r="C220" t="s">
        <v>266</v>
      </c>
      <c r="D220" s="25" t="s">
        <v>417</v>
      </c>
    </row>
    <row r="221" spans="1:7" x14ac:dyDescent="0.3">
      <c r="B221" s="29">
        <v>44139</v>
      </c>
      <c r="C221" t="s">
        <v>347</v>
      </c>
      <c r="D221" s="25" t="s">
        <v>472</v>
      </c>
    </row>
    <row r="222" spans="1:7" x14ac:dyDescent="0.3">
      <c r="B222" s="29">
        <v>44143</v>
      </c>
      <c r="C222" t="s">
        <v>500</v>
      </c>
      <c r="D222" s="25" t="s">
        <v>495</v>
      </c>
    </row>
    <row r="223" spans="1:7" x14ac:dyDescent="0.3">
      <c r="B223" s="29">
        <v>44144</v>
      </c>
      <c r="C223" s="34" t="s">
        <v>501</v>
      </c>
      <c r="D223" s="25" t="s">
        <v>363</v>
      </c>
      <c r="G223" s="34" t="s">
        <v>502</v>
      </c>
    </row>
    <row r="224" spans="1:7" x14ac:dyDescent="0.3">
      <c r="B224" s="29">
        <v>44146</v>
      </c>
      <c r="C224" t="s">
        <v>496</v>
      </c>
      <c r="D224" s="25" t="s">
        <v>271</v>
      </c>
    </row>
    <row r="225" spans="1:7" x14ac:dyDescent="0.3">
      <c r="B225" s="29">
        <v>44153</v>
      </c>
      <c r="C225" t="s">
        <v>497</v>
      </c>
      <c r="D225" s="25" t="s">
        <v>371</v>
      </c>
    </row>
    <row r="226" spans="1:7" x14ac:dyDescent="0.3">
      <c r="B226" s="29">
        <v>44165</v>
      </c>
      <c r="C226" t="s">
        <v>498</v>
      </c>
      <c r="D226" s="25" t="s">
        <v>333</v>
      </c>
    </row>
    <row r="227" spans="1:7" x14ac:dyDescent="0.3">
      <c r="A227" t="s">
        <v>505</v>
      </c>
      <c r="E227" s="33" t="s">
        <v>301</v>
      </c>
      <c r="F227" s="33" t="s">
        <v>510</v>
      </c>
    </row>
    <row r="228" spans="1:7" x14ac:dyDescent="0.3">
      <c r="B228" s="29">
        <v>44111</v>
      </c>
      <c r="C228" t="s">
        <v>119</v>
      </c>
      <c r="D228" s="25" t="s">
        <v>494</v>
      </c>
    </row>
    <row r="229" spans="1:7" x14ac:dyDescent="0.3">
      <c r="B229" s="29">
        <v>44118</v>
      </c>
      <c r="C229" t="s">
        <v>314</v>
      </c>
      <c r="D229" s="25" t="s">
        <v>508</v>
      </c>
    </row>
    <row r="230" spans="1:7" x14ac:dyDescent="0.3">
      <c r="B230" s="29" t="s">
        <v>509</v>
      </c>
      <c r="C230" t="s">
        <v>266</v>
      </c>
      <c r="D230" s="25" t="s">
        <v>371</v>
      </c>
    </row>
    <row r="231" spans="1:7" x14ac:dyDescent="0.3">
      <c r="B231" s="29">
        <v>44146</v>
      </c>
      <c r="C231" t="s">
        <v>506</v>
      </c>
      <c r="D231" s="25" t="s">
        <v>357</v>
      </c>
      <c r="G231" s="34" t="s">
        <v>507</v>
      </c>
    </row>
    <row r="232" spans="1:7" x14ac:dyDescent="0.3">
      <c r="A232" t="s">
        <v>511</v>
      </c>
      <c r="E232" s="33" t="s">
        <v>256</v>
      </c>
      <c r="F232" s="33" t="s">
        <v>518</v>
      </c>
    </row>
    <row r="233" spans="1:7" x14ac:dyDescent="0.3">
      <c r="B233" s="29">
        <v>44118</v>
      </c>
      <c r="C233" t="s">
        <v>512</v>
      </c>
      <c r="D233" s="25" t="s">
        <v>378</v>
      </c>
    </row>
    <row r="234" spans="1:7" x14ac:dyDescent="0.3">
      <c r="B234" s="29">
        <v>44125</v>
      </c>
      <c r="C234" t="s">
        <v>513</v>
      </c>
      <c r="D234" s="25" t="s">
        <v>378</v>
      </c>
    </row>
    <row r="235" spans="1:7" x14ac:dyDescent="0.3">
      <c r="B235" s="29">
        <v>44145</v>
      </c>
      <c r="C235" t="s">
        <v>55</v>
      </c>
      <c r="D235" s="25" t="s">
        <v>514</v>
      </c>
    </row>
    <row r="236" spans="1:7" x14ac:dyDescent="0.3">
      <c r="B236" s="29" t="s">
        <v>326</v>
      </c>
      <c r="C236" t="s">
        <v>515</v>
      </c>
      <c r="D236" s="25" t="s">
        <v>371</v>
      </c>
    </row>
    <row r="237" spans="1:7" x14ac:dyDescent="0.3">
      <c r="B237" s="29">
        <v>44164</v>
      </c>
      <c r="C237" t="s">
        <v>516</v>
      </c>
      <c r="D237" s="25" t="s">
        <v>517</v>
      </c>
    </row>
    <row r="238" spans="1:7" x14ac:dyDescent="0.3">
      <c r="A238" t="s">
        <v>519</v>
      </c>
      <c r="E238" s="33" t="s">
        <v>467</v>
      </c>
      <c r="F238" s="33" t="s">
        <v>529</v>
      </c>
    </row>
    <row r="239" spans="1:7" x14ac:dyDescent="0.3">
      <c r="B239" s="29">
        <v>44111</v>
      </c>
      <c r="C239" t="s">
        <v>520</v>
      </c>
      <c r="D239" s="25" t="s">
        <v>521</v>
      </c>
    </row>
    <row r="240" spans="1:7" x14ac:dyDescent="0.3">
      <c r="B240" s="29">
        <v>44118</v>
      </c>
      <c r="C240" t="s">
        <v>522</v>
      </c>
      <c r="D240" s="25" t="s">
        <v>410</v>
      </c>
    </row>
    <row r="241" spans="1:7" x14ac:dyDescent="0.3">
      <c r="B241" s="29">
        <v>44132</v>
      </c>
      <c r="C241" t="s">
        <v>523</v>
      </c>
      <c r="D241" s="25" t="s">
        <v>351</v>
      </c>
    </row>
    <row r="242" spans="1:7" x14ac:dyDescent="0.3">
      <c r="B242" s="29">
        <v>44144</v>
      </c>
      <c r="C242" t="s">
        <v>524</v>
      </c>
      <c r="D242" s="25" t="s">
        <v>367</v>
      </c>
    </row>
    <row r="243" spans="1:7" x14ac:dyDescent="0.3">
      <c r="B243" s="29" t="s">
        <v>525</v>
      </c>
      <c r="C243" t="s">
        <v>526</v>
      </c>
      <c r="D243" s="25" t="s">
        <v>423</v>
      </c>
    </row>
    <row r="244" spans="1:7" x14ac:dyDescent="0.3">
      <c r="B244" s="29">
        <v>44165</v>
      </c>
      <c r="C244" t="s">
        <v>527</v>
      </c>
      <c r="D244" s="25" t="s">
        <v>528</v>
      </c>
    </row>
    <row r="245" spans="1:7" x14ac:dyDescent="0.3">
      <c r="A245" t="s">
        <v>530</v>
      </c>
      <c r="E245" s="39" t="s">
        <v>301</v>
      </c>
      <c r="F245" s="39" t="s">
        <v>415</v>
      </c>
    </row>
    <row r="246" spans="1:7" x14ac:dyDescent="0.3">
      <c r="B246" s="29">
        <v>44116</v>
      </c>
      <c r="C246" t="s">
        <v>314</v>
      </c>
      <c r="D246" s="25" t="s">
        <v>418</v>
      </c>
    </row>
    <row r="247" spans="1:7" x14ac:dyDescent="0.3">
      <c r="B247" s="29">
        <v>44134</v>
      </c>
      <c r="C247" t="s">
        <v>116</v>
      </c>
      <c r="D247" s="45" t="s">
        <v>417</v>
      </c>
    </row>
    <row r="248" spans="1:7" x14ac:dyDescent="0.3">
      <c r="B248" s="29">
        <v>44145</v>
      </c>
      <c r="C248" t="s">
        <v>531</v>
      </c>
      <c r="D248" s="25" t="s">
        <v>454</v>
      </c>
    </row>
    <row r="249" spans="1:7" x14ac:dyDescent="0.3">
      <c r="B249" s="29" t="s">
        <v>321</v>
      </c>
      <c r="C249" t="s">
        <v>266</v>
      </c>
      <c r="D249" s="25" t="s">
        <v>410</v>
      </c>
      <c r="G249" s="34" t="s">
        <v>532</v>
      </c>
    </row>
    <row r="251" spans="1:7" x14ac:dyDescent="0.3">
      <c r="A251" s="76">
        <v>1900</v>
      </c>
      <c r="B251" s="76"/>
      <c r="C251" s="76"/>
      <c r="D251" s="76"/>
    </row>
    <row r="252" spans="1:7" x14ac:dyDescent="0.3">
      <c r="A252" t="s">
        <v>533</v>
      </c>
      <c r="E252" s="33" t="s">
        <v>253</v>
      </c>
      <c r="F252" s="33" t="s">
        <v>538</v>
      </c>
    </row>
    <row r="253" spans="1:7" x14ac:dyDescent="0.3">
      <c r="B253" s="29" t="s">
        <v>534</v>
      </c>
      <c r="C253" t="s">
        <v>266</v>
      </c>
      <c r="D253" s="25" t="s">
        <v>417</v>
      </c>
    </row>
    <row r="254" spans="1:7" x14ac:dyDescent="0.3">
      <c r="B254" s="29">
        <v>44126</v>
      </c>
      <c r="C254" t="s">
        <v>320</v>
      </c>
      <c r="D254" s="25" t="s">
        <v>351</v>
      </c>
    </row>
    <row r="255" spans="1:7" x14ac:dyDescent="0.3">
      <c r="B255" s="29">
        <v>44131</v>
      </c>
      <c r="C255" t="s">
        <v>469</v>
      </c>
      <c r="D255" s="25" t="s">
        <v>460</v>
      </c>
    </row>
    <row r="256" spans="1:7" x14ac:dyDescent="0.3">
      <c r="B256" s="29">
        <v>44145</v>
      </c>
      <c r="C256" t="s">
        <v>535</v>
      </c>
      <c r="D256" s="45" t="s">
        <v>417</v>
      </c>
    </row>
    <row r="257" spans="1:6" x14ac:dyDescent="0.3">
      <c r="B257" s="29">
        <v>44152</v>
      </c>
      <c r="C257" t="s">
        <v>536</v>
      </c>
      <c r="D257" s="25" t="s">
        <v>537</v>
      </c>
    </row>
    <row r="258" spans="1:6" x14ac:dyDescent="0.3">
      <c r="B258" s="29">
        <v>44164</v>
      </c>
      <c r="C258" t="s">
        <v>465</v>
      </c>
      <c r="D258" s="25" t="s">
        <v>371</v>
      </c>
    </row>
    <row r="259" spans="1:6" x14ac:dyDescent="0.3">
      <c r="A259" t="s">
        <v>539</v>
      </c>
      <c r="E259" s="33" t="s">
        <v>253</v>
      </c>
      <c r="F259" s="33" t="s">
        <v>548</v>
      </c>
    </row>
    <row r="260" spans="1:6" x14ac:dyDescent="0.3">
      <c r="B260" s="29">
        <v>44103</v>
      </c>
      <c r="C260" t="s">
        <v>103</v>
      </c>
      <c r="D260" s="25" t="s">
        <v>417</v>
      </c>
    </row>
    <row r="261" spans="1:6" x14ac:dyDescent="0.3">
      <c r="B261" s="29" t="s">
        <v>540</v>
      </c>
      <c r="C261" t="s">
        <v>291</v>
      </c>
      <c r="D261" s="25" t="s">
        <v>417</v>
      </c>
    </row>
    <row r="262" spans="1:6" x14ac:dyDescent="0.3">
      <c r="B262" s="29">
        <v>44110</v>
      </c>
      <c r="C262" t="s">
        <v>332</v>
      </c>
      <c r="D262" s="25" t="s">
        <v>541</v>
      </c>
    </row>
    <row r="263" spans="1:6" x14ac:dyDescent="0.3">
      <c r="B263" s="29">
        <v>44117</v>
      </c>
      <c r="C263" t="s">
        <v>55</v>
      </c>
      <c r="D263" s="25" t="s">
        <v>417</v>
      </c>
    </row>
    <row r="264" spans="1:6" x14ac:dyDescent="0.3">
      <c r="B264" s="29">
        <v>44131</v>
      </c>
      <c r="C264" t="s">
        <v>900</v>
      </c>
      <c r="D264" s="25" t="s">
        <v>371</v>
      </c>
    </row>
    <row r="265" spans="1:6" x14ac:dyDescent="0.3">
      <c r="B265" s="29">
        <v>44136</v>
      </c>
      <c r="C265" t="s">
        <v>292</v>
      </c>
      <c r="D265" s="25" t="s">
        <v>542</v>
      </c>
    </row>
    <row r="266" spans="1:6" x14ac:dyDescent="0.3">
      <c r="B266" s="29">
        <v>44138</v>
      </c>
      <c r="C266" t="s">
        <v>369</v>
      </c>
      <c r="D266" s="25" t="s">
        <v>543</v>
      </c>
    </row>
    <row r="267" spans="1:6" x14ac:dyDescent="0.3">
      <c r="B267" s="29">
        <v>44140</v>
      </c>
      <c r="C267" t="s">
        <v>544</v>
      </c>
      <c r="D267" s="25" t="s">
        <v>371</v>
      </c>
    </row>
    <row r="268" spans="1:6" x14ac:dyDescent="0.3">
      <c r="B268" s="29">
        <v>44152</v>
      </c>
      <c r="C268" t="s">
        <v>266</v>
      </c>
      <c r="D268" s="25" t="s">
        <v>417</v>
      </c>
    </row>
    <row r="269" spans="1:6" x14ac:dyDescent="0.3">
      <c r="B269" s="29">
        <v>44152</v>
      </c>
      <c r="C269" t="s">
        <v>545</v>
      </c>
      <c r="D269" s="25" t="s">
        <v>546</v>
      </c>
    </row>
    <row r="270" spans="1:6" x14ac:dyDescent="0.3">
      <c r="B270" s="29">
        <v>44159</v>
      </c>
      <c r="C270" t="s">
        <v>547</v>
      </c>
      <c r="D270" s="25" t="s">
        <v>472</v>
      </c>
    </row>
    <row r="271" spans="1:6" x14ac:dyDescent="0.3">
      <c r="B271" s="29">
        <v>44164</v>
      </c>
      <c r="C271" t="s">
        <v>347</v>
      </c>
      <c r="D271" s="25" t="s">
        <v>371</v>
      </c>
    </row>
    <row r="272" spans="1:6" x14ac:dyDescent="0.3">
      <c r="A272" t="s">
        <v>549</v>
      </c>
      <c r="E272" s="33" t="s">
        <v>254</v>
      </c>
      <c r="F272" s="33" t="s">
        <v>529</v>
      </c>
    </row>
    <row r="273" spans="1:7" x14ac:dyDescent="0.3">
      <c r="B273" s="29">
        <v>44110</v>
      </c>
      <c r="C273" t="s">
        <v>531</v>
      </c>
      <c r="D273" s="25" t="s">
        <v>442</v>
      </c>
    </row>
    <row r="274" spans="1:7" x14ac:dyDescent="0.3">
      <c r="B274" s="29" t="s">
        <v>550</v>
      </c>
      <c r="C274" t="s">
        <v>322</v>
      </c>
      <c r="D274" s="25" t="s">
        <v>485</v>
      </c>
    </row>
    <row r="275" spans="1:7" x14ac:dyDescent="0.3">
      <c r="B275" s="29">
        <v>44124</v>
      </c>
      <c r="C275" t="s">
        <v>119</v>
      </c>
      <c r="D275" s="25" t="s">
        <v>367</v>
      </c>
    </row>
    <row r="276" spans="1:7" x14ac:dyDescent="0.3">
      <c r="B276" s="29">
        <v>44129</v>
      </c>
      <c r="C276" t="s">
        <v>524</v>
      </c>
      <c r="D276" s="25" t="s">
        <v>521</v>
      </c>
    </row>
    <row r="277" spans="1:7" x14ac:dyDescent="0.3">
      <c r="B277" s="29">
        <v>44137</v>
      </c>
      <c r="C277" t="s">
        <v>266</v>
      </c>
      <c r="D277" s="25" t="s">
        <v>551</v>
      </c>
    </row>
    <row r="278" spans="1:7" x14ac:dyDescent="0.3">
      <c r="B278" s="29">
        <v>44164</v>
      </c>
      <c r="C278" t="s">
        <v>55</v>
      </c>
      <c r="D278" s="25" t="s">
        <v>410</v>
      </c>
    </row>
    <row r="279" spans="1:7" x14ac:dyDescent="0.3">
      <c r="A279" t="s">
        <v>552</v>
      </c>
      <c r="E279" s="33" t="s">
        <v>253</v>
      </c>
      <c r="F279" s="33" t="s">
        <v>571</v>
      </c>
    </row>
    <row r="280" spans="1:7" x14ac:dyDescent="0.3">
      <c r="B280" s="29" t="s">
        <v>434</v>
      </c>
      <c r="C280" t="s">
        <v>291</v>
      </c>
      <c r="D280" s="25" t="s">
        <v>553</v>
      </c>
      <c r="G280" t="s">
        <v>593</v>
      </c>
    </row>
    <row r="281" spans="1:7" x14ac:dyDescent="0.3">
      <c r="B281" s="29">
        <v>44117</v>
      </c>
      <c r="C281" s="34" t="s">
        <v>314</v>
      </c>
      <c r="D281" s="25" t="s">
        <v>303</v>
      </c>
    </row>
    <row r="282" spans="1:7" x14ac:dyDescent="0.3">
      <c r="B282" s="29">
        <v>44131</v>
      </c>
      <c r="C282" t="s">
        <v>119</v>
      </c>
      <c r="D282" s="25" t="s">
        <v>554</v>
      </c>
    </row>
    <row r="283" spans="1:7" x14ac:dyDescent="0.3">
      <c r="B283" s="29">
        <v>44137</v>
      </c>
      <c r="C283" s="34" t="s">
        <v>561</v>
      </c>
      <c r="D283" s="25" t="s">
        <v>381</v>
      </c>
      <c r="G283" t="s">
        <v>555</v>
      </c>
    </row>
    <row r="284" spans="1:7" x14ac:dyDescent="0.3">
      <c r="B284" s="29">
        <v>44151</v>
      </c>
      <c r="C284" s="34" t="s">
        <v>557</v>
      </c>
      <c r="D284" s="25" t="s">
        <v>556</v>
      </c>
    </row>
    <row r="285" spans="1:7" x14ac:dyDescent="0.3">
      <c r="B285" s="29">
        <v>44152</v>
      </c>
      <c r="C285" s="34" t="s">
        <v>560</v>
      </c>
      <c r="D285" s="25" t="s">
        <v>559</v>
      </c>
      <c r="G285" s="34" t="s">
        <v>562</v>
      </c>
    </row>
    <row r="286" spans="1:7" x14ac:dyDescent="0.3">
      <c r="B286" s="29">
        <v>44154</v>
      </c>
      <c r="C286" s="34" t="s">
        <v>448</v>
      </c>
      <c r="D286" s="25" t="s">
        <v>303</v>
      </c>
    </row>
    <row r="287" spans="1:7" x14ac:dyDescent="0.3">
      <c r="B287" s="29">
        <v>44157</v>
      </c>
      <c r="C287" s="34" t="s">
        <v>558</v>
      </c>
      <c r="D287" s="25" t="s">
        <v>485</v>
      </c>
      <c r="G287" s="34"/>
    </row>
    <row r="288" spans="1:7" x14ac:dyDescent="0.3">
      <c r="B288" s="29">
        <v>44158</v>
      </c>
      <c r="C288" s="37" t="s">
        <v>266</v>
      </c>
      <c r="D288" s="25" t="s">
        <v>474</v>
      </c>
      <c r="G288" s="34"/>
    </row>
    <row r="289" spans="1:6" x14ac:dyDescent="0.3">
      <c r="B289" s="29">
        <v>44164</v>
      </c>
      <c r="C289" t="s">
        <v>103</v>
      </c>
      <c r="D289" s="25" t="s">
        <v>378</v>
      </c>
    </row>
    <row r="290" spans="1:6" x14ac:dyDescent="0.3">
      <c r="A290" t="s">
        <v>1216</v>
      </c>
      <c r="E290" s="33" t="s">
        <v>563</v>
      </c>
      <c r="F290" s="33" t="s">
        <v>564</v>
      </c>
    </row>
    <row r="291" spans="1:6" x14ac:dyDescent="0.3">
      <c r="B291" s="29">
        <v>44110</v>
      </c>
      <c r="C291" t="s">
        <v>161</v>
      </c>
      <c r="D291" s="25" t="s">
        <v>554</v>
      </c>
    </row>
    <row r="292" spans="1:6" x14ac:dyDescent="0.3">
      <c r="B292" s="29">
        <v>44124</v>
      </c>
      <c r="C292" t="s">
        <v>565</v>
      </c>
      <c r="D292" s="25" t="s">
        <v>566</v>
      </c>
    </row>
    <row r="293" spans="1:6" x14ac:dyDescent="0.3">
      <c r="B293" s="29" t="s">
        <v>399</v>
      </c>
      <c r="C293" t="s">
        <v>266</v>
      </c>
      <c r="D293" s="25" t="s">
        <v>567</v>
      </c>
    </row>
    <row r="294" spans="1:6" x14ac:dyDescent="0.3">
      <c r="B294" s="29">
        <v>44131</v>
      </c>
      <c r="C294" t="s">
        <v>314</v>
      </c>
      <c r="D294" s="25" t="s">
        <v>371</v>
      </c>
    </row>
    <row r="295" spans="1:6" x14ac:dyDescent="0.3">
      <c r="B295" s="29">
        <v>44149</v>
      </c>
      <c r="C295" t="s">
        <v>383</v>
      </c>
      <c r="D295" s="25" t="s">
        <v>553</v>
      </c>
    </row>
    <row r="296" spans="1:6" x14ac:dyDescent="0.3">
      <c r="B296" s="29">
        <v>44159</v>
      </c>
      <c r="C296" t="s">
        <v>568</v>
      </c>
      <c r="D296" s="25" t="s">
        <v>569</v>
      </c>
    </row>
    <row r="297" spans="1:6" x14ac:dyDescent="0.3">
      <c r="B297" s="29">
        <v>44160</v>
      </c>
      <c r="C297" t="s">
        <v>1208</v>
      </c>
      <c r="D297" s="25" t="s">
        <v>346</v>
      </c>
    </row>
    <row r="298" spans="1:6" x14ac:dyDescent="0.3">
      <c r="A298" t="s">
        <v>596</v>
      </c>
      <c r="E298" s="33" t="s">
        <v>467</v>
      </c>
      <c r="F298" s="33" t="s">
        <v>529</v>
      </c>
    </row>
    <row r="299" spans="1:6" x14ac:dyDescent="0.3">
      <c r="B299" s="29">
        <v>44110</v>
      </c>
      <c r="C299" t="s">
        <v>531</v>
      </c>
      <c r="D299" s="25" t="s">
        <v>418</v>
      </c>
    </row>
    <row r="300" spans="1:6" x14ac:dyDescent="0.3">
      <c r="B300" s="29">
        <v>44114</v>
      </c>
      <c r="C300" t="s">
        <v>322</v>
      </c>
      <c r="D300" s="25" t="s">
        <v>485</v>
      </c>
    </row>
    <row r="301" spans="1:6" x14ac:dyDescent="0.3">
      <c r="B301" s="29">
        <v>44124</v>
      </c>
      <c r="C301" t="s">
        <v>119</v>
      </c>
      <c r="D301" s="25" t="s">
        <v>367</v>
      </c>
    </row>
    <row r="302" spans="1:6" x14ac:dyDescent="0.3">
      <c r="B302" s="29">
        <v>44129</v>
      </c>
      <c r="C302" t="s">
        <v>524</v>
      </c>
      <c r="D302" s="25" t="s">
        <v>521</v>
      </c>
    </row>
    <row r="303" spans="1:6" x14ac:dyDescent="0.3">
      <c r="B303" s="29" t="s">
        <v>570</v>
      </c>
      <c r="C303" t="s">
        <v>266</v>
      </c>
      <c r="D303" s="25" t="s">
        <v>551</v>
      </c>
    </row>
    <row r="304" spans="1:6" x14ac:dyDescent="0.3">
      <c r="B304" s="29">
        <v>44164</v>
      </c>
      <c r="C304" t="s">
        <v>55</v>
      </c>
      <c r="D304" s="25" t="s">
        <v>410</v>
      </c>
    </row>
    <row r="305" spans="1:6" x14ac:dyDescent="0.3">
      <c r="A305" t="s">
        <v>597</v>
      </c>
      <c r="E305" s="33" t="s">
        <v>572</v>
      </c>
      <c r="F305" s="33" t="s">
        <v>571</v>
      </c>
    </row>
    <row r="306" spans="1:6" x14ac:dyDescent="0.3">
      <c r="B306" s="29">
        <v>44124</v>
      </c>
      <c r="C306" t="s">
        <v>151</v>
      </c>
      <c r="D306" s="25" t="s">
        <v>346</v>
      </c>
    </row>
    <row r="307" spans="1:6" x14ac:dyDescent="0.3">
      <c r="B307" s="29">
        <v>44129</v>
      </c>
      <c r="C307" t="s">
        <v>103</v>
      </c>
      <c r="D307" s="25" t="s">
        <v>410</v>
      </c>
    </row>
    <row r="308" spans="1:6" x14ac:dyDescent="0.3">
      <c r="B308" s="29">
        <v>44136</v>
      </c>
      <c r="C308" t="s">
        <v>133</v>
      </c>
      <c r="D308" s="25" t="s">
        <v>573</v>
      </c>
    </row>
    <row r="309" spans="1:6" x14ac:dyDescent="0.3">
      <c r="B309" s="29" t="s">
        <v>356</v>
      </c>
      <c r="C309" t="s">
        <v>291</v>
      </c>
      <c r="D309" s="25" t="s">
        <v>333</v>
      </c>
    </row>
    <row r="310" spans="1:6" x14ac:dyDescent="0.3">
      <c r="B310" s="29">
        <v>44152</v>
      </c>
      <c r="C310" t="s">
        <v>574</v>
      </c>
      <c r="D310" s="25" t="s">
        <v>575</v>
      </c>
    </row>
    <row r="311" spans="1:6" x14ac:dyDescent="0.3">
      <c r="B311" s="29">
        <v>44157</v>
      </c>
      <c r="C311" t="s">
        <v>448</v>
      </c>
      <c r="D311" s="25" t="s">
        <v>346</v>
      </c>
    </row>
    <row r="312" spans="1:6" x14ac:dyDescent="0.3">
      <c r="B312" s="29">
        <v>44164</v>
      </c>
      <c r="C312" t="s">
        <v>266</v>
      </c>
      <c r="D312" s="25" t="s">
        <v>576</v>
      </c>
    </row>
    <row r="313" spans="1:6" x14ac:dyDescent="0.3">
      <c r="A313" t="s">
        <v>598</v>
      </c>
      <c r="E313" s="33" t="s">
        <v>301</v>
      </c>
      <c r="F313" s="33" t="s">
        <v>581</v>
      </c>
    </row>
    <row r="314" spans="1:6" x14ac:dyDescent="0.3">
      <c r="B314" s="29">
        <v>44110</v>
      </c>
      <c r="C314" t="s">
        <v>103</v>
      </c>
      <c r="D314" s="25" t="s">
        <v>287</v>
      </c>
    </row>
    <row r="315" spans="1:6" x14ac:dyDescent="0.3">
      <c r="B315" s="29">
        <v>44123</v>
      </c>
      <c r="C315" t="s">
        <v>577</v>
      </c>
      <c r="D315" s="25" t="s">
        <v>312</v>
      </c>
    </row>
    <row r="316" spans="1:6" x14ac:dyDescent="0.3">
      <c r="B316" s="29" t="s">
        <v>290</v>
      </c>
      <c r="C316" t="s">
        <v>322</v>
      </c>
      <c r="D316" s="25" t="s">
        <v>578</v>
      </c>
    </row>
    <row r="317" spans="1:6" x14ac:dyDescent="0.3">
      <c r="B317" s="29">
        <v>44164</v>
      </c>
      <c r="C317" t="s">
        <v>579</v>
      </c>
      <c r="D317" s="25" t="s">
        <v>580</v>
      </c>
    </row>
    <row r="318" spans="1:6" x14ac:dyDescent="0.3">
      <c r="A318" t="s">
        <v>582</v>
      </c>
      <c r="E318" s="33" t="s">
        <v>583</v>
      </c>
      <c r="F318" s="33" t="s">
        <v>548</v>
      </c>
    </row>
    <row r="319" spans="1:6" x14ac:dyDescent="0.3">
      <c r="B319" s="29">
        <v>44103</v>
      </c>
      <c r="C319" t="s">
        <v>103</v>
      </c>
      <c r="D319" s="25" t="s">
        <v>417</v>
      </c>
    </row>
    <row r="320" spans="1:6" x14ac:dyDescent="0.3">
      <c r="B320" s="29">
        <v>44110</v>
      </c>
      <c r="C320" t="s">
        <v>291</v>
      </c>
      <c r="D320" s="25" t="s">
        <v>417</v>
      </c>
    </row>
    <row r="321" spans="1:6" x14ac:dyDescent="0.3">
      <c r="B321" s="29">
        <v>44110</v>
      </c>
      <c r="C321" t="s">
        <v>332</v>
      </c>
      <c r="D321" s="25" t="s">
        <v>541</v>
      </c>
    </row>
    <row r="322" spans="1:6" x14ac:dyDescent="0.3">
      <c r="B322" s="29">
        <v>44117</v>
      </c>
      <c r="C322" t="s">
        <v>55</v>
      </c>
      <c r="D322" s="25" t="s">
        <v>417</v>
      </c>
    </row>
    <row r="323" spans="1:6" x14ac:dyDescent="0.3">
      <c r="B323" s="29">
        <v>44131</v>
      </c>
      <c r="C323" t="s">
        <v>900</v>
      </c>
      <c r="D323" s="25" t="s">
        <v>371</v>
      </c>
    </row>
    <row r="324" spans="1:6" x14ac:dyDescent="0.3">
      <c r="B324" s="29">
        <v>44136</v>
      </c>
      <c r="C324" t="s">
        <v>292</v>
      </c>
      <c r="D324" s="25" t="s">
        <v>542</v>
      </c>
    </row>
    <row r="325" spans="1:6" x14ac:dyDescent="0.3">
      <c r="B325" s="29">
        <v>44138</v>
      </c>
      <c r="C325" t="s">
        <v>369</v>
      </c>
      <c r="D325" s="25" t="s">
        <v>543</v>
      </c>
    </row>
    <row r="326" spans="1:6" x14ac:dyDescent="0.3">
      <c r="B326" s="29">
        <v>44140</v>
      </c>
      <c r="C326" t="s">
        <v>544</v>
      </c>
      <c r="D326" s="25" t="s">
        <v>371</v>
      </c>
    </row>
    <row r="327" spans="1:6" x14ac:dyDescent="0.3">
      <c r="B327" s="29" t="s">
        <v>326</v>
      </c>
      <c r="C327" t="s">
        <v>266</v>
      </c>
      <c r="D327" s="25" t="s">
        <v>417</v>
      </c>
    </row>
    <row r="328" spans="1:6" x14ac:dyDescent="0.3">
      <c r="B328" s="29">
        <v>44152</v>
      </c>
      <c r="C328" t="s">
        <v>545</v>
      </c>
      <c r="D328" s="25" t="s">
        <v>546</v>
      </c>
    </row>
    <row r="329" spans="1:6" x14ac:dyDescent="0.3">
      <c r="B329" s="29">
        <v>44159</v>
      </c>
      <c r="C329" t="s">
        <v>547</v>
      </c>
      <c r="D329" s="25" t="s">
        <v>472</v>
      </c>
    </row>
    <row r="330" spans="1:6" x14ac:dyDescent="0.3">
      <c r="B330" s="29">
        <v>44164</v>
      </c>
      <c r="C330" t="s">
        <v>347</v>
      </c>
      <c r="D330" s="25" t="s">
        <v>371</v>
      </c>
    </row>
    <row r="331" spans="1:6" x14ac:dyDescent="0.3">
      <c r="A331" t="s">
        <v>584</v>
      </c>
      <c r="E331" s="33" t="s">
        <v>590</v>
      </c>
      <c r="F331" s="33" t="s">
        <v>306</v>
      </c>
    </row>
    <row r="332" spans="1:6" x14ac:dyDescent="0.3">
      <c r="B332" s="29">
        <v>44117</v>
      </c>
      <c r="C332" t="s">
        <v>579</v>
      </c>
      <c r="D332" s="25" t="s">
        <v>333</v>
      </c>
    </row>
    <row r="333" spans="1:6" x14ac:dyDescent="0.3">
      <c r="B333" s="29">
        <v>44124</v>
      </c>
      <c r="C333" t="s">
        <v>147</v>
      </c>
      <c r="D333" s="25" t="s">
        <v>485</v>
      </c>
    </row>
    <row r="334" spans="1:6" x14ac:dyDescent="0.3">
      <c r="B334" s="29">
        <v>44131</v>
      </c>
      <c r="C334" t="s">
        <v>585</v>
      </c>
      <c r="D334" s="25" t="s">
        <v>586</v>
      </c>
    </row>
    <row r="335" spans="1:6" x14ac:dyDescent="0.3">
      <c r="B335" s="29">
        <v>44146</v>
      </c>
      <c r="C335" t="s">
        <v>133</v>
      </c>
      <c r="D335" s="25" t="s">
        <v>587</v>
      </c>
    </row>
    <row r="336" spans="1:6" x14ac:dyDescent="0.3">
      <c r="B336" s="29">
        <v>44152</v>
      </c>
      <c r="C336" t="s">
        <v>314</v>
      </c>
      <c r="D336" s="25" t="s">
        <v>588</v>
      </c>
    </row>
    <row r="337" spans="1:7" x14ac:dyDescent="0.3">
      <c r="B337" s="29" t="s">
        <v>462</v>
      </c>
      <c r="C337" t="s">
        <v>266</v>
      </c>
      <c r="D337" s="25" t="s">
        <v>487</v>
      </c>
    </row>
    <row r="338" spans="1:7" x14ac:dyDescent="0.3">
      <c r="B338" s="29">
        <v>44165</v>
      </c>
      <c r="C338" t="s">
        <v>589</v>
      </c>
      <c r="D338" s="25" t="s">
        <v>382</v>
      </c>
    </row>
    <row r="339" spans="1:7" x14ac:dyDescent="0.3">
      <c r="A339" t="s">
        <v>591</v>
      </c>
      <c r="E339" s="33" t="s">
        <v>594</v>
      </c>
      <c r="F339" s="33" t="s">
        <v>571</v>
      </c>
    </row>
    <row r="340" spans="1:7" x14ac:dyDescent="0.3">
      <c r="B340" s="29">
        <v>44115</v>
      </c>
      <c r="C340" t="s">
        <v>291</v>
      </c>
      <c r="D340" s="25" t="s">
        <v>553</v>
      </c>
      <c r="G340" t="s">
        <v>593</v>
      </c>
    </row>
    <row r="341" spans="1:7" x14ac:dyDescent="0.3">
      <c r="B341" s="29">
        <v>44117</v>
      </c>
      <c r="C341" s="34" t="s">
        <v>314</v>
      </c>
      <c r="D341" s="25" t="s">
        <v>303</v>
      </c>
    </row>
    <row r="342" spans="1:7" x14ac:dyDescent="0.3">
      <c r="B342" s="29">
        <v>44131</v>
      </c>
      <c r="C342" t="s">
        <v>119</v>
      </c>
      <c r="D342" s="25" t="s">
        <v>554</v>
      </c>
    </row>
    <row r="343" spans="1:7" x14ac:dyDescent="0.3">
      <c r="B343" s="29">
        <v>44137</v>
      </c>
      <c r="C343" s="34" t="s">
        <v>561</v>
      </c>
      <c r="D343" s="25" t="s">
        <v>381</v>
      </c>
      <c r="G343" t="s">
        <v>555</v>
      </c>
    </row>
    <row r="344" spans="1:7" x14ac:dyDescent="0.3">
      <c r="B344" s="29">
        <v>44151</v>
      </c>
      <c r="C344" s="34" t="s">
        <v>557</v>
      </c>
      <c r="D344" s="25" t="s">
        <v>556</v>
      </c>
    </row>
    <row r="345" spans="1:7" x14ac:dyDescent="0.3">
      <c r="B345" s="29">
        <v>44152</v>
      </c>
      <c r="C345" s="34" t="s">
        <v>560</v>
      </c>
      <c r="D345" s="25" t="s">
        <v>559</v>
      </c>
      <c r="G345" s="34" t="s">
        <v>562</v>
      </c>
    </row>
    <row r="346" spans="1:7" x14ac:dyDescent="0.3">
      <c r="B346" s="29">
        <v>44154</v>
      </c>
      <c r="C346" s="34" t="s">
        <v>448</v>
      </c>
      <c r="D346" s="25" t="s">
        <v>303</v>
      </c>
    </row>
    <row r="347" spans="1:7" x14ac:dyDescent="0.3">
      <c r="B347" s="29">
        <v>44157</v>
      </c>
      <c r="C347" s="34" t="s">
        <v>558</v>
      </c>
      <c r="D347" s="25" t="s">
        <v>485</v>
      </c>
      <c r="G347" s="34"/>
    </row>
    <row r="348" spans="1:7" x14ac:dyDescent="0.3">
      <c r="B348" s="29" t="s">
        <v>592</v>
      </c>
      <c r="C348" s="37" t="s">
        <v>266</v>
      </c>
      <c r="D348" s="25" t="s">
        <v>474</v>
      </c>
      <c r="G348" s="34"/>
    </row>
    <row r="349" spans="1:7" x14ac:dyDescent="0.3">
      <c r="B349" s="29">
        <v>44164</v>
      </c>
      <c r="C349" t="s">
        <v>103</v>
      </c>
      <c r="D349" s="25" t="s">
        <v>378</v>
      </c>
    </row>
    <row r="350" spans="1:7" x14ac:dyDescent="0.3">
      <c r="A350" t="s">
        <v>599</v>
      </c>
      <c r="E350" s="33" t="s">
        <v>595</v>
      </c>
      <c r="F350" s="33" t="s">
        <v>571</v>
      </c>
    </row>
    <row r="351" spans="1:7" x14ac:dyDescent="0.3">
      <c r="B351" s="29">
        <v>44124</v>
      </c>
      <c r="C351" t="s">
        <v>151</v>
      </c>
      <c r="D351" s="25" t="s">
        <v>346</v>
      </c>
    </row>
    <row r="352" spans="1:7" x14ac:dyDescent="0.3">
      <c r="B352" s="29">
        <v>44129</v>
      </c>
      <c r="C352" t="s">
        <v>103</v>
      </c>
      <c r="D352" s="25" t="s">
        <v>410</v>
      </c>
    </row>
    <row r="353" spans="1:6" x14ac:dyDescent="0.3">
      <c r="B353" s="29">
        <v>44136</v>
      </c>
      <c r="C353" t="s">
        <v>133</v>
      </c>
      <c r="D353" s="25" t="s">
        <v>573</v>
      </c>
    </row>
    <row r="354" spans="1:6" x14ac:dyDescent="0.3">
      <c r="B354" s="29">
        <v>44145</v>
      </c>
      <c r="C354" t="s">
        <v>291</v>
      </c>
      <c r="D354" s="25" t="s">
        <v>333</v>
      </c>
    </row>
    <row r="355" spans="1:6" x14ac:dyDescent="0.3">
      <c r="B355" s="29">
        <v>44152</v>
      </c>
      <c r="C355" t="s">
        <v>574</v>
      </c>
      <c r="D355" s="25" t="s">
        <v>575</v>
      </c>
    </row>
    <row r="356" spans="1:6" x14ac:dyDescent="0.3">
      <c r="B356" s="29">
        <v>44157</v>
      </c>
      <c r="C356" t="s">
        <v>448</v>
      </c>
      <c r="D356" s="25" t="s">
        <v>346</v>
      </c>
    </row>
    <row r="357" spans="1:6" x14ac:dyDescent="0.3">
      <c r="B357" s="29" t="s">
        <v>362</v>
      </c>
      <c r="C357" t="s">
        <v>266</v>
      </c>
      <c r="D357" s="25" t="s">
        <v>576</v>
      </c>
    </row>
    <row r="359" spans="1:6" x14ac:dyDescent="0.3">
      <c r="A359" s="76">
        <v>1901</v>
      </c>
      <c r="B359" s="76"/>
      <c r="C359" s="76"/>
      <c r="D359" s="76"/>
    </row>
    <row r="360" spans="1:6" x14ac:dyDescent="0.3">
      <c r="A360" t="s">
        <v>600</v>
      </c>
      <c r="E360" s="33" t="s">
        <v>255</v>
      </c>
      <c r="F360" s="33" t="s">
        <v>610</v>
      </c>
    </row>
    <row r="361" spans="1:6" x14ac:dyDescent="0.3">
      <c r="B361" s="29">
        <v>44108</v>
      </c>
      <c r="C361" t="s">
        <v>531</v>
      </c>
      <c r="D361" s="25" t="s">
        <v>601</v>
      </c>
    </row>
    <row r="362" spans="1:6" x14ac:dyDescent="0.3">
      <c r="B362" s="29">
        <v>44109</v>
      </c>
      <c r="C362" t="s">
        <v>577</v>
      </c>
      <c r="D362" s="25" t="s">
        <v>602</v>
      </c>
    </row>
    <row r="363" spans="1:6" x14ac:dyDescent="0.3">
      <c r="B363" s="29" t="s">
        <v>603</v>
      </c>
      <c r="C363" t="s">
        <v>322</v>
      </c>
      <c r="D363" s="25" t="s">
        <v>586</v>
      </c>
    </row>
    <row r="364" spans="1:6" x14ac:dyDescent="0.3">
      <c r="B364" s="29">
        <v>44123</v>
      </c>
      <c r="C364" t="s">
        <v>314</v>
      </c>
      <c r="D364" s="25" t="s">
        <v>495</v>
      </c>
    </row>
    <row r="365" spans="1:6" x14ac:dyDescent="0.3">
      <c r="B365" s="29">
        <v>44158</v>
      </c>
      <c r="C365" t="s">
        <v>606</v>
      </c>
      <c r="D365" s="25" t="s">
        <v>418</v>
      </c>
    </row>
    <row r="366" spans="1:6" x14ac:dyDescent="0.3">
      <c r="B366" s="29">
        <v>44158</v>
      </c>
      <c r="C366" t="s">
        <v>266</v>
      </c>
      <c r="D366" s="25" t="s">
        <v>351</v>
      </c>
    </row>
    <row r="367" spans="1:6" x14ac:dyDescent="0.3">
      <c r="B367" s="29">
        <v>44165</v>
      </c>
      <c r="C367" t="s">
        <v>609</v>
      </c>
      <c r="D367" s="25" t="s">
        <v>271</v>
      </c>
    </row>
    <row r="368" spans="1:6" x14ac:dyDescent="0.3">
      <c r="A368" t="s">
        <v>614</v>
      </c>
      <c r="E368" s="33" t="s">
        <v>253</v>
      </c>
      <c r="F368" s="33" t="s">
        <v>612</v>
      </c>
    </row>
    <row r="369" spans="1:7" x14ac:dyDescent="0.3">
      <c r="B369" s="29" t="s">
        <v>550</v>
      </c>
      <c r="C369" t="s">
        <v>291</v>
      </c>
      <c r="D369" s="25" t="s">
        <v>378</v>
      </c>
    </row>
    <row r="370" spans="1:7" x14ac:dyDescent="0.3">
      <c r="B370" s="29">
        <v>44116</v>
      </c>
      <c r="C370" t="s">
        <v>314</v>
      </c>
      <c r="D370" s="25" t="s">
        <v>355</v>
      </c>
    </row>
    <row r="371" spans="1:7" x14ac:dyDescent="0.3">
      <c r="B371" s="29">
        <v>44130</v>
      </c>
      <c r="C371" s="34" t="s">
        <v>604</v>
      </c>
      <c r="D371" s="25" t="s">
        <v>605</v>
      </c>
    </row>
    <row r="372" spans="1:7" x14ac:dyDescent="0.3">
      <c r="B372" s="29">
        <v>44137</v>
      </c>
      <c r="C372" s="34" t="s">
        <v>119</v>
      </c>
      <c r="D372" s="25" t="s">
        <v>298</v>
      </c>
      <c r="G372" s="34"/>
    </row>
    <row r="373" spans="1:7" x14ac:dyDescent="0.3">
      <c r="B373" s="29">
        <v>44156</v>
      </c>
      <c r="C373" t="s">
        <v>611</v>
      </c>
      <c r="D373" s="25" t="s">
        <v>607</v>
      </c>
      <c r="G373" s="34"/>
    </row>
    <row r="374" spans="1:7" x14ac:dyDescent="0.3">
      <c r="B374" s="29">
        <v>44157</v>
      </c>
      <c r="C374" t="s">
        <v>426</v>
      </c>
      <c r="D374" s="25" t="s">
        <v>357</v>
      </c>
      <c r="G374" s="34"/>
    </row>
    <row r="375" spans="1:7" x14ac:dyDescent="0.3">
      <c r="B375" s="29">
        <v>44158</v>
      </c>
      <c r="C375" t="s">
        <v>608</v>
      </c>
      <c r="D375" s="25" t="s">
        <v>485</v>
      </c>
      <c r="G375" s="34"/>
    </row>
    <row r="376" spans="1:7" x14ac:dyDescent="0.3">
      <c r="A376" t="s">
        <v>613</v>
      </c>
      <c r="E376" s="33" t="s">
        <v>324</v>
      </c>
      <c r="F376" s="33" t="s">
        <v>620</v>
      </c>
    </row>
    <row r="377" spans="1:7" x14ac:dyDescent="0.3">
      <c r="B377" s="29">
        <v>44116</v>
      </c>
      <c r="C377" t="s">
        <v>55</v>
      </c>
      <c r="D377" s="25" t="s">
        <v>340</v>
      </c>
    </row>
    <row r="378" spans="1:7" x14ac:dyDescent="0.3">
      <c r="B378" s="29" t="s">
        <v>615</v>
      </c>
      <c r="C378" t="s">
        <v>291</v>
      </c>
      <c r="D378" s="25" t="s">
        <v>616</v>
      </c>
    </row>
    <row r="379" spans="1:7" x14ac:dyDescent="0.3">
      <c r="B379" s="29">
        <v>44123</v>
      </c>
      <c r="C379" t="s">
        <v>103</v>
      </c>
      <c r="D379" s="25" t="s">
        <v>617</v>
      </c>
    </row>
    <row r="380" spans="1:7" x14ac:dyDescent="0.3">
      <c r="B380" s="29">
        <v>44130</v>
      </c>
      <c r="C380" t="s">
        <v>531</v>
      </c>
      <c r="D380" s="25" t="s">
        <v>357</v>
      </c>
    </row>
    <row r="381" spans="1:7" x14ac:dyDescent="0.3">
      <c r="B381" s="29">
        <v>44137</v>
      </c>
      <c r="C381" t="s">
        <v>484</v>
      </c>
      <c r="D381" s="25" t="s">
        <v>575</v>
      </c>
    </row>
    <row r="382" spans="1:7" x14ac:dyDescent="0.3">
      <c r="B382" s="29">
        <v>44139</v>
      </c>
      <c r="C382" t="s">
        <v>523</v>
      </c>
      <c r="D382" s="25" t="s">
        <v>410</v>
      </c>
    </row>
    <row r="383" spans="1:7" x14ac:dyDescent="0.3">
      <c r="B383" s="29">
        <v>44154</v>
      </c>
      <c r="C383" t="s">
        <v>266</v>
      </c>
      <c r="D383" s="25" t="s">
        <v>393</v>
      </c>
    </row>
    <row r="384" spans="1:7" x14ac:dyDescent="0.3">
      <c r="B384" s="29">
        <v>44158</v>
      </c>
      <c r="C384" t="s">
        <v>547</v>
      </c>
      <c r="D384" s="25" t="s">
        <v>618</v>
      </c>
    </row>
    <row r="385" spans="1:6" x14ac:dyDescent="0.3">
      <c r="B385" s="29">
        <v>44163</v>
      </c>
      <c r="C385" t="s">
        <v>568</v>
      </c>
      <c r="D385" s="25" t="s">
        <v>619</v>
      </c>
    </row>
    <row r="386" spans="1:6" x14ac:dyDescent="0.3">
      <c r="A386" t="s">
        <v>621</v>
      </c>
      <c r="E386" s="33" t="s">
        <v>492</v>
      </c>
      <c r="F386" s="33" t="s">
        <v>620</v>
      </c>
    </row>
    <row r="387" spans="1:6" x14ac:dyDescent="0.3">
      <c r="B387" s="29">
        <v>44116</v>
      </c>
      <c r="C387" t="s">
        <v>55</v>
      </c>
      <c r="D387" s="25" t="s">
        <v>340</v>
      </c>
    </row>
    <row r="388" spans="1:6" x14ac:dyDescent="0.3">
      <c r="B388" s="29">
        <v>44120</v>
      </c>
      <c r="C388" t="s">
        <v>291</v>
      </c>
      <c r="D388" s="25" t="s">
        <v>616</v>
      </c>
    </row>
    <row r="389" spans="1:6" x14ac:dyDescent="0.3">
      <c r="B389" s="29">
        <v>44123</v>
      </c>
      <c r="C389" t="s">
        <v>103</v>
      </c>
      <c r="D389" s="25" t="s">
        <v>617</v>
      </c>
    </row>
    <row r="390" spans="1:6" x14ac:dyDescent="0.3">
      <c r="B390" s="29">
        <v>44130</v>
      </c>
      <c r="C390" t="s">
        <v>531</v>
      </c>
      <c r="D390" s="25" t="s">
        <v>357</v>
      </c>
    </row>
    <row r="391" spans="1:6" x14ac:dyDescent="0.3">
      <c r="B391" s="29">
        <v>44137</v>
      </c>
      <c r="C391" t="s">
        <v>484</v>
      </c>
      <c r="D391" s="25" t="s">
        <v>575</v>
      </c>
    </row>
    <row r="392" spans="1:6" x14ac:dyDescent="0.3">
      <c r="B392" s="29">
        <v>44139</v>
      </c>
      <c r="C392" t="s">
        <v>523</v>
      </c>
      <c r="D392" s="25" t="s">
        <v>410</v>
      </c>
    </row>
    <row r="393" spans="1:6" x14ac:dyDescent="0.3">
      <c r="B393" s="29" t="s">
        <v>462</v>
      </c>
      <c r="C393" t="s">
        <v>266</v>
      </c>
      <c r="D393" s="25" t="s">
        <v>393</v>
      </c>
    </row>
    <row r="394" spans="1:6" x14ac:dyDescent="0.3">
      <c r="B394" s="29">
        <v>44158</v>
      </c>
      <c r="C394" t="s">
        <v>547</v>
      </c>
      <c r="D394" s="25" t="s">
        <v>618</v>
      </c>
    </row>
    <row r="395" spans="1:6" x14ac:dyDescent="0.3">
      <c r="B395" s="29">
        <v>44163</v>
      </c>
      <c r="C395" t="s">
        <v>568</v>
      </c>
      <c r="D395" s="25" t="s">
        <v>619</v>
      </c>
    </row>
    <row r="396" spans="1:6" x14ac:dyDescent="0.3">
      <c r="A396" t="s">
        <v>622</v>
      </c>
      <c r="E396" s="33" t="s">
        <v>623</v>
      </c>
      <c r="F396" s="33" t="s">
        <v>610</v>
      </c>
    </row>
    <row r="397" spans="1:6" x14ac:dyDescent="0.3">
      <c r="B397" s="29">
        <v>44108</v>
      </c>
      <c r="C397" t="s">
        <v>531</v>
      </c>
      <c r="D397" s="25" t="s">
        <v>601</v>
      </c>
    </row>
    <row r="398" spans="1:6" x14ac:dyDescent="0.3">
      <c r="B398" s="29">
        <v>44109</v>
      </c>
      <c r="C398" t="s">
        <v>577</v>
      </c>
      <c r="D398" s="25" t="s">
        <v>602</v>
      </c>
    </row>
    <row r="399" spans="1:6" x14ac:dyDescent="0.3">
      <c r="B399" s="29">
        <v>44113</v>
      </c>
      <c r="C399" t="s">
        <v>322</v>
      </c>
      <c r="D399" s="25" t="s">
        <v>586</v>
      </c>
    </row>
    <row r="400" spans="1:6" x14ac:dyDescent="0.3">
      <c r="B400" s="29">
        <v>44123</v>
      </c>
      <c r="C400" t="s">
        <v>314</v>
      </c>
      <c r="D400" s="25" t="s">
        <v>495</v>
      </c>
    </row>
    <row r="401" spans="1:6" x14ac:dyDescent="0.3">
      <c r="B401" s="29">
        <v>44158</v>
      </c>
      <c r="C401" t="s">
        <v>606</v>
      </c>
      <c r="D401" s="25" t="s">
        <v>418</v>
      </c>
    </row>
    <row r="402" spans="1:6" x14ac:dyDescent="0.3">
      <c r="B402" s="29" t="s">
        <v>592</v>
      </c>
      <c r="C402" t="s">
        <v>266</v>
      </c>
      <c r="D402" s="25" t="s">
        <v>351</v>
      </c>
    </row>
    <row r="403" spans="1:6" x14ac:dyDescent="0.3">
      <c r="B403" s="29">
        <v>44165</v>
      </c>
      <c r="C403" t="s">
        <v>609</v>
      </c>
      <c r="D403" s="25" t="s">
        <v>271</v>
      </c>
    </row>
    <row r="404" spans="1:6" x14ac:dyDescent="0.3">
      <c r="A404" t="s">
        <v>624</v>
      </c>
      <c r="E404" s="33" t="s">
        <v>594</v>
      </c>
      <c r="F404" s="33" t="s">
        <v>529</v>
      </c>
    </row>
    <row r="405" spans="1:6" x14ac:dyDescent="0.3">
      <c r="B405" s="29">
        <v>44108</v>
      </c>
      <c r="C405" t="s">
        <v>103</v>
      </c>
      <c r="D405" s="25" t="s">
        <v>423</v>
      </c>
    </row>
    <row r="406" spans="1:6" x14ac:dyDescent="0.3">
      <c r="B406" s="29">
        <v>44123</v>
      </c>
      <c r="C406" t="s">
        <v>625</v>
      </c>
      <c r="D406" s="25" t="s">
        <v>554</v>
      </c>
    </row>
    <row r="407" spans="1:6" x14ac:dyDescent="0.3">
      <c r="B407" s="29">
        <v>44130</v>
      </c>
      <c r="C407" t="s">
        <v>513</v>
      </c>
      <c r="D407" s="25" t="s">
        <v>381</v>
      </c>
    </row>
    <row r="408" spans="1:6" x14ac:dyDescent="0.3">
      <c r="B408" s="29">
        <v>44134</v>
      </c>
      <c r="C408" t="s">
        <v>524</v>
      </c>
      <c r="D408" s="25" t="s">
        <v>626</v>
      </c>
    </row>
    <row r="409" spans="1:6" x14ac:dyDescent="0.3">
      <c r="B409" s="29">
        <v>44151</v>
      </c>
      <c r="C409" t="s">
        <v>520</v>
      </c>
      <c r="D409" s="25" t="s">
        <v>566</v>
      </c>
    </row>
    <row r="410" spans="1:6" x14ac:dyDescent="0.3">
      <c r="B410" s="29" t="s">
        <v>403</v>
      </c>
      <c r="C410" t="s">
        <v>266</v>
      </c>
      <c r="D410" s="25" t="s">
        <v>627</v>
      </c>
    </row>
    <row r="412" spans="1:6" x14ac:dyDescent="0.3">
      <c r="A412" s="76">
        <v>1902</v>
      </c>
      <c r="B412" s="76"/>
      <c r="C412" s="76"/>
      <c r="D412" s="76"/>
    </row>
    <row r="413" spans="1:6" x14ac:dyDescent="0.3">
      <c r="A413" t="s">
        <v>628</v>
      </c>
      <c r="E413" s="33" t="s">
        <v>253</v>
      </c>
      <c r="F413" s="33" t="s">
        <v>253</v>
      </c>
    </row>
    <row r="414" spans="1:6" x14ac:dyDescent="0.3">
      <c r="B414" s="29" t="s">
        <v>629</v>
      </c>
      <c r="C414" t="s">
        <v>266</v>
      </c>
      <c r="D414" s="25" t="s">
        <v>417</v>
      </c>
    </row>
    <row r="415" spans="1:6" x14ac:dyDescent="0.3">
      <c r="A415" t="s">
        <v>630</v>
      </c>
      <c r="E415" s="33" t="s">
        <v>253</v>
      </c>
      <c r="F415" s="33" t="s">
        <v>632</v>
      </c>
    </row>
    <row r="416" spans="1:6" x14ac:dyDescent="0.3">
      <c r="B416" s="29" t="s">
        <v>631</v>
      </c>
      <c r="C416" t="s">
        <v>291</v>
      </c>
      <c r="D416" s="25" t="s">
        <v>551</v>
      </c>
    </row>
    <row r="417" spans="1:6" x14ac:dyDescent="0.3">
      <c r="B417" s="29">
        <v>44122</v>
      </c>
      <c r="C417" t="s">
        <v>579</v>
      </c>
      <c r="D417" s="25" t="s">
        <v>633</v>
      </c>
    </row>
    <row r="418" spans="1:6" x14ac:dyDescent="0.3">
      <c r="B418" s="29">
        <v>44128</v>
      </c>
      <c r="C418" t="s">
        <v>574</v>
      </c>
      <c r="D418" s="25" t="s">
        <v>340</v>
      </c>
    </row>
    <row r="419" spans="1:6" x14ac:dyDescent="0.3">
      <c r="B419" s="29">
        <v>44134</v>
      </c>
      <c r="C419" t="s">
        <v>524</v>
      </c>
      <c r="D419" s="25" t="s">
        <v>271</v>
      </c>
    </row>
    <row r="420" spans="1:6" x14ac:dyDescent="0.3">
      <c r="B420" s="29">
        <v>44143</v>
      </c>
      <c r="C420" t="s">
        <v>151</v>
      </c>
      <c r="D420" s="25" t="s">
        <v>365</v>
      </c>
    </row>
    <row r="421" spans="1:6" x14ac:dyDescent="0.3">
      <c r="B421" s="29">
        <v>44150</v>
      </c>
      <c r="C421" t="s">
        <v>451</v>
      </c>
      <c r="D421" s="25" t="s">
        <v>287</v>
      </c>
    </row>
    <row r="422" spans="1:6" x14ac:dyDescent="0.3">
      <c r="B422" s="29">
        <v>44162</v>
      </c>
      <c r="C422" t="s">
        <v>292</v>
      </c>
      <c r="D422" s="25" t="s">
        <v>446</v>
      </c>
    </row>
    <row r="423" spans="1:6" x14ac:dyDescent="0.3">
      <c r="A423" t="s">
        <v>634</v>
      </c>
      <c r="E423" s="33" t="s">
        <v>324</v>
      </c>
      <c r="F423" s="33" t="s">
        <v>638</v>
      </c>
    </row>
    <row r="424" spans="1:6" x14ac:dyDescent="0.3">
      <c r="B424" s="29">
        <v>44107</v>
      </c>
      <c r="C424" t="s">
        <v>426</v>
      </c>
      <c r="D424" s="25" t="s">
        <v>333</v>
      </c>
    </row>
    <row r="425" spans="1:6" x14ac:dyDescent="0.3">
      <c r="B425" s="29" t="s">
        <v>540</v>
      </c>
      <c r="C425" t="s">
        <v>291</v>
      </c>
      <c r="D425" s="25" t="s">
        <v>371</v>
      </c>
    </row>
    <row r="426" spans="1:6" x14ac:dyDescent="0.3">
      <c r="B426" s="29">
        <v>44114</v>
      </c>
      <c r="C426" t="s">
        <v>531</v>
      </c>
      <c r="D426" s="25" t="s">
        <v>357</v>
      </c>
    </row>
    <row r="427" spans="1:6" x14ac:dyDescent="0.3">
      <c r="B427" s="29">
        <v>44115</v>
      </c>
      <c r="C427" t="s">
        <v>314</v>
      </c>
      <c r="D427" s="25" t="s">
        <v>378</v>
      </c>
    </row>
    <row r="428" spans="1:6" x14ac:dyDescent="0.3">
      <c r="B428" s="29">
        <v>44117</v>
      </c>
      <c r="C428" t="s">
        <v>266</v>
      </c>
      <c r="D428" s="25" t="s">
        <v>635</v>
      </c>
    </row>
    <row r="429" spans="1:6" x14ac:dyDescent="0.3">
      <c r="B429" s="29">
        <v>44122</v>
      </c>
      <c r="C429" t="s">
        <v>520</v>
      </c>
      <c r="D429" s="25" t="s">
        <v>428</v>
      </c>
    </row>
    <row r="430" spans="1:6" x14ac:dyDescent="0.3">
      <c r="B430" s="29">
        <v>44126</v>
      </c>
      <c r="C430" t="s">
        <v>133</v>
      </c>
      <c r="D430" s="25" t="s">
        <v>355</v>
      </c>
    </row>
    <row r="431" spans="1:6" x14ac:dyDescent="0.3">
      <c r="B431" s="29">
        <v>44132</v>
      </c>
      <c r="C431" t="s">
        <v>184</v>
      </c>
      <c r="D431" s="25" t="s">
        <v>371</v>
      </c>
    </row>
    <row r="432" spans="1:6" x14ac:dyDescent="0.3">
      <c r="B432" s="29">
        <v>44143</v>
      </c>
      <c r="C432" t="s">
        <v>161</v>
      </c>
      <c r="D432" s="25" t="s">
        <v>371</v>
      </c>
    </row>
    <row r="433" spans="1:6" x14ac:dyDescent="0.3">
      <c r="B433" s="29">
        <v>44149</v>
      </c>
      <c r="C433" t="s">
        <v>147</v>
      </c>
      <c r="D433" s="25" t="s">
        <v>410</v>
      </c>
    </row>
    <row r="434" spans="1:6" x14ac:dyDescent="0.3">
      <c r="B434" s="29">
        <v>44164</v>
      </c>
      <c r="C434" t="s">
        <v>636</v>
      </c>
      <c r="D434" s="25" t="s">
        <v>637</v>
      </c>
    </row>
    <row r="435" spans="1:6" x14ac:dyDescent="0.3">
      <c r="A435" t="s">
        <v>634</v>
      </c>
      <c r="E435" s="33" t="s">
        <v>510</v>
      </c>
      <c r="F435" s="33" t="s">
        <v>638</v>
      </c>
    </row>
    <row r="436" spans="1:6" x14ac:dyDescent="0.3">
      <c r="B436" s="29">
        <v>44107</v>
      </c>
      <c r="C436" t="s">
        <v>426</v>
      </c>
      <c r="D436" s="25" t="s">
        <v>333</v>
      </c>
    </row>
    <row r="437" spans="1:6" x14ac:dyDescent="0.3">
      <c r="B437" s="29">
        <v>44110</v>
      </c>
      <c r="C437" t="s">
        <v>291</v>
      </c>
      <c r="D437" s="25" t="s">
        <v>371</v>
      </c>
    </row>
    <row r="438" spans="1:6" x14ac:dyDescent="0.3">
      <c r="B438" s="29">
        <v>44114</v>
      </c>
      <c r="C438" t="s">
        <v>531</v>
      </c>
      <c r="D438" s="25" t="s">
        <v>357</v>
      </c>
    </row>
    <row r="439" spans="1:6" x14ac:dyDescent="0.3">
      <c r="B439" s="29">
        <v>44115</v>
      </c>
      <c r="C439" t="s">
        <v>314</v>
      </c>
      <c r="D439" s="25" t="s">
        <v>378</v>
      </c>
    </row>
    <row r="440" spans="1:6" x14ac:dyDescent="0.3">
      <c r="B440" s="29" t="s">
        <v>639</v>
      </c>
      <c r="C440" t="s">
        <v>266</v>
      </c>
      <c r="D440" s="25" t="s">
        <v>635</v>
      </c>
    </row>
    <row r="441" spans="1:6" x14ac:dyDescent="0.3">
      <c r="B441" s="29">
        <v>44122</v>
      </c>
      <c r="C441" t="s">
        <v>520</v>
      </c>
      <c r="D441" s="25" t="s">
        <v>428</v>
      </c>
    </row>
    <row r="442" spans="1:6" x14ac:dyDescent="0.3">
      <c r="B442" s="29">
        <v>44126</v>
      </c>
      <c r="C442" t="s">
        <v>133</v>
      </c>
      <c r="D442" s="25" t="s">
        <v>355</v>
      </c>
    </row>
    <row r="443" spans="1:6" x14ac:dyDescent="0.3">
      <c r="B443" s="29">
        <v>44132</v>
      </c>
      <c r="C443" t="s">
        <v>184</v>
      </c>
      <c r="D443" s="25" t="s">
        <v>371</v>
      </c>
    </row>
    <row r="444" spans="1:6" x14ac:dyDescent="0.3">
      <c r="B444" s="29">
        <v>44143</v>
      </c>
      <c r="C444" t="s">
        <v>161</v>
      </c>
      <c r="D444" s="25" t="s">
        <v>371</v>
      </c>
    </row>
    <row r="445" spans="1:6" x14ac:dyDescent="0.3">
      <c r="B445" s="29">
        <v>44149</v>
      </c>
      <c r="C445" t="s">
        <v>147</v>
      </c>
      <c r="D445" s="25" t="s">
        <v>410</v>
      </c>
    </row>
    <row r="446" spans="1:6" x14ac:dyDescent="0.3">
      <c r="B446" s="29">
        <v>44164</v>
      </c>
      <c r="C446" t="s">
        <v>636</v>
      </c>
      <c r="D446" s="25" t="s">
        <v>637</v>
      </c>
    </row>
    <row r="447" spans="1:6" x14ac:dyDescent="0.3">
      <c r="A447" t="s">
        <v>1217</v>
      </c>
      <c r="E447" s="33" t="s">
        <v>254</v>
      </c>
      <c r="F447" s="33" t="s">
        <v>645</v>
      </c>
    </row>
    <row r="448" spans="1:6" x14ac:dyDescent="0.3">
      <c r="B448" s="29">
        <v>44117</v>
      </c>
      <c r="C448" t="s">
        <v>640</v>
      </c>
      <c r="D448" s="25" t="s">
        <v>381</v>
      </c>
    </row>
    <row r="449" spans="1:6" x14ac:dyDescent="0.3">
      <c r="B449" s="29" t="s">
        <v>380</v>
      </c>
      <c r="C449" t="s">
        <v>291</v>
      </c>
      <c r="D449" s="25" t="s">
        <v>641</v>
      </c>
    </row>
    <row r="450" spans="1:6" x14ac:dyDescent="0.3">
      <c r="B450" s="29">
        <v>44129</v>
      </c>
      <c r="C450" t="s">
        <v>642</v>
      </c>
      <c r="D450" s="25" t="s">
        <v>371</v>
      </c>
    </row>
    <row r="451" spans="1:6" x14ac:dyDescent="0.3">
      <c r="B451" s="29">
        <v>44143</v>
      </c>
      <c r="C451" t="s">
        <v>643</v>
      </c>
      <c r="D451" s="25" t="s">
        <v>340</v>
      </c>
    </row>
    <row r="452" spans="1:6" x14ac:dyDescent="0.3">
      <c r="B452" s="29">
        <v>44150</v>
      </c>
      <c r="C452" t="s">
        <v>383</v>
      </c>
      <c r="D452" s="25" t="s">
        <v>381</v>
      </c>
    </row>
    <row r="453" spans="1:6" x14ac:dyDescent="0.3">
      <c r="B453" s="29">
        <v>44162</v>
      </c>
      <c r="C453" t="s">
        <v>1333</v>
      </c>
      <c r="D453" s="25" t="s">
        <v>644</v>
      </c>
    </row>
    <row r="454" spans="1:6" x14ac:dyDescent="0.3">
      <c r="A454" t="s">
        <v>646</v>
      </c>
      <c r="E454" s="33" t="s">
        <v>647</v>
      </c>
      <c r="F454" s="33" t="s">
        <v>651</v>
      </c>
    </row>
    <row r="455" spans="1:6" x14ac:dyDescent="0.3">
      <c r="B455" s="29">
        <v>44108</v>
      </c>
      <c r="C455" t="s">
        <v>383</v>
      </c>
      <c r="D455" s="25" t="s">
        <v>648</v>
      </c>
    </row>
    <row r="456" spans="1:6" x14ac:dyDescent="0.3">
      <c r="B456" s="29">
        <v>44115</v>
      </c>
      <c r="C456" t="s">
        <v>1331</v>
      </c>
      <c r="D456" s="25" t="s">
        <v>371</v>
      </c>
    </row>
    <row r="457" spans="1:6" x14ac:dyDescent="0.3">
      <c r="B457" s="29">
        <v>44120</v>
      </c>
      <c r="C457" t="s">
        <v>649</v>
      </c>
      <c r="D457" s="25" t="s">
        <v>367</v>
      </c>
    </row>
    <row r="458" spans="1:6" x14ac:dyDescent="0.3">
      <c r="B458" s="29" t="s">
        <v>274</v>
      </c>
      <c r="C458" t="s">
        <v>650</v>
      </c>
      <c r="D458" s="25" t="s">
        <v>346</v>
      </c>
    </row>
    <row r="459" spans="1:6" x14ac:dyDescent="0.3">
      <c r="B459" s="29">
        <v>44141</v>
      </c>
      <c r="C459" t="s">
        <v>524</v>
      </c>
      <c r="D459" s="25" t="s">
        <v>346</v>
      </c>
    </row>
    <row r="460" spans="1:6" x14ac:dyDescent="0.3">
      <c r="B460" s="29">
        <v>44142</v>
      </c>
      <c r="C460" t="s">
        <v>579</v>
      </c>
      <c r="D460" s="25" t="s">
        <v>578</v>
      </c>
    </row>
    <row r="461" spans="1:6" x14ac:dyDescent="0.3">
      <c r="B461" s="29">
        <v>44144</v>
      </c>
      <c r="C461" t="s">
        <v>574</v>
      </c>
      <c r="D461" s="25" t="s">
        <v>371</v>
      </c>
    </row>
    <row r="462" spans="1:6" x14ac:dyDescent="0.3">
      <c r="A462" t="s">
        <v>652</v>
      </c>
      <c r="E462" s="33" t="s">
        <v>467</v>
      </c>
      <c r="F462" s="33" t="s">
        <v>657</v>
      </c>
    </row>
    <row r="463" spans="1:6" x14ac:dyDescent="0.3">
      <c r="B463" s="29">
        <v>44101</v>
      </c>
      <c r="C463" t="s">
        <v>314</v>
      </c>
      <c r="D463" s="25" t="s">
        <v>418</v>
      </c>
    </row>
    <row r="464" spans="1:6" x14ac:dyDescent="0.3">
      <c r="B464" s="29">
        <v>44108</v>
      </c>
      <c r="C464" t="s">
        <v>729</v>
      </c>
      <c r="D464" s="25" t="s">
        <v>485</v>
      </c>
    </row>
    <row r="465" spans="1:6" x14ac:dyDescent="0.3">
      <c r="B465" s="29">
        <v>44117</v>
      </c>
      <c r="C465" t="s">
        <v>119</v>
      </c>
      <c r="D465" s="25" t="s">
        <v>616</v>
      </c>
    </row>
    <row r="466" spans="1:6" x14ac:dyDescent="0.3">
      <c r="B466" s="29">
        <v>44119</v>
      </c>
      <c r="C466" t="s">
        <v>524</v>
      </c>
      <c r="D466" s="25" t="s">
        <v>378</v>
      </c>
    </row>
    <row r="467" spans="1:6" x14ac:dyDescent="0.3">
      <c r="B467" s="29" t="s">
        <v>653</v>
      </c>
      <c r="C467" t="s">
        <v>266</v>
      </c>
      <c r="D467" s="25" t="s">
        <v>654</v>
      </c>
    </row>
    <row r="468" spans="1:6" x14ac:dyDescent="0.3">
      <c r="B468" s="29">
        <v>44136</v>
      </c>
      <c r="C468" t="s">
        <v>506</v>
      </c>
      <c r="D468" s="25" t="s">
        <v>655</v>
      </c>
    </row>
    <row r="469" spans="1:6" x14ac:dyDescent="0.3">
      <c r="B469" s="29">
        <v>44150</v>
      </c>
      <c r="C469" t="s">
        <v>729</v>
      </c>
      <c r="D469" s="25" t="s">
        <v>656</v>
      </c>
    </row>
    <row r="470" spans="1:6" x14ac:dyDescent="0.3">
      <c r="B470" s="29">
        <v>44157</v>
      </c>
      <c r="C470" t="s">
        <v>112</v>
      </c>
      <c r="D470" s="25" t="s">
        <v>371</v>
      </c>
    </row>
    <row r="471" spans="1:6" x14ac:dyDescent="0.3">
      <c r="A471" t="s">
        <v>658</v>
      </c>
      <c r="E471" s="33" t="s">
        <v>662</v>
      </c>
      <c r="F471" s="33" t="s">
        <v>663</v>
      </c>
    </row>
    <row r="472" spans="1:6" x14ac:dyDescent="0.3">
      <c r="B472" s="29">
        <v>44101</v>
      </c>
      <c r="C472" t="s">
        <v>103</v>
      </c>
      <c r="D472" s="25" t="s">
        <v>287</v>
      </c>
    </row>
    <row r="473" spans="1:6" x14ac:dyDescent="0.3">
      <c r="B473" s="29">
        <v>44108</v>
      </c>
      <c r="C473" t="s">
        <v>55</v>
      </c>
      <c r="D473" s="25" t="s">
        <v>655</v>
      </c>
    </row>
    <row r="474" spans="1:6" x14ac:dyDescent="0.3">
      <c r="B474" s="29">
        <v>44115</v>
      </c>
      <c r="C474" t="s">
        <v>157</v>
      </c>
      <c r="D474" s="25" t="s">
        <v>410</v>
      </c>
    </row>
    <row r="475" spans="1:6" x14ac:dyDescent="0.3">
      <c r="B475" s="29">
        <v>44122</v>
      </c>
      <c r="C475" t="s">
        <v>448</v>
      </c>
      <c r="D475" s="25" t="s">
        <v>575</v>
      </c>
    </row>
    <row r="476" spans="1:6" x14ac:dyDescent="0.3">
      <c r="B476" s="29">
        <v>44129</v>
      </c>
      <c r="C476" t="s">
        <v>1209</v>
      </c>
      <c r="D476" s="25" t="s">
        <v>371</v>
      </c>
    </row>
    <row r="477" spans="1:6" x14ac:dyDescent="0.3">
      <c r="B477" s="29">
        <v>44136</v>
      </c>
      <c r="C477" t="s">
        <v>1334</v>
      </c>
      <c r="D477" s="25" t="s">
        <v>659</v>
      </c>
    </row>
    <row r="478" spans="1:6" x14ac:dyDescent="0.3">
      <c r="B478" s="29" t="s">
        <v>660</v>
      </c>
      <c r="C478" t="s">
        <v>266</v>
      </c>
      <c r="D478" s="25" t="s">
        <v>371</v>
      </c>
    </row>
    <row r="479" spans="1:6" x14ac:dyDescent="0.3">
      <c r="B479" s="29">
        <v>44150</v>
      </c>
      <c r="C479" t="s">
        <v>661</v>
      </c>
      <c r="D479" s="25" t="s">
        <v>569</v>
      </c>
    </row>
    <row r="480" spans="1:6" x14ac:dyDescent="0.3">
      <c r="B480" s="29">
        <v>44162</v>
      </c>
      <c r="C480" t="s">
        <v>453</v>
      </c>
      <c r="D480" s="25" t="s">
        <v>285</v>
      </c>
    </row>
    <row r="481" spans="1:6" x14ac:dyDescent="0.3">
      <c r="A481" t="s">
        <v>664</v>
      </c>
      <c r="E481" s="33" t="s">
        <v>667</v>
      </c>
      <c r="F481" s="33" t="s">
        <v>667</v>
      </c>
    </row>
    <row r="482" spans="1:6" x14ac:dyDescent="0.3">
      <c r="B482" s="29">
        <v>44098</v>
      </c>
      <c r="C482" t="s">
        <v>314</v>
      </c>
      <c r="D482" s="25" t="s">
        <v>417</v>
      </c>
    </row>
    <row r="483" spans="1:6" x14ac:dyDescent="0.3">
      <c r="B483" s="29">
        <v>44105</v>
      </c>
      <c r="C483" t="s">
        <v>531</v>
      </c>
      <c r="D483" s="25" t="s">
        <v>671</v>
      </c>
    </row>
    <row r="484" spans="1:6" x14ac:dyDescent="0.3">
      <c r="B484" s="29">
        <v>44108</v>
      </c>
      <c r="C484" t="s">
        <v>314</v>
      </c>
      <c r="D484" s="25" t="s">
        <v>672</v>
      </c>
    </row>
    <row r="485" spans="1:6" x14ac:dyDescent="0.3">
      <c r="B485" s="29">
        <v>44115</v>
      </c>
      <c r="C485" t="s">
        <v>608</v>
      </c>
      <c r="D485" s="25" t="s">
        <v>417</v>
      </c>
    </row>
    <row r="486" spans="1:6" x14ac:dyDescent="0.3">
      <c r="B486" s="29">
        <v>44125</v>
      </c>
      <c r="C486" t="s">
        <v>665</v>
      </c>
      <c r="D486" s="25" t="s">
        <v>446</v>
      </c>
    </row>
    <row r="487" spans="1:6" x14ac:dyDescent="0.3">
      <c r="B487" s="29">
        <v>44136</v>
      </c>
      <c r="C487" t="s">
        <v>609</v>
      </c>
      <c r="D487" s="25" t="s">
        <v>487</v>
      </c>
    </row>
    <row r="488" spans="1:6" x14ac:dyDescent="0.3">
      <c r="B488" s="29" t="s">
        <v>666</v>
      </c>
      <c r="C488" t="s">
        <v>266</v>
      </c>
      <c r="D488" s="25" t="s">
        <v>417</v>
      </c>
    </row>
    <row r="489" spans="1:6" x14ac:dyDescent="0.3">
      <c r="A489" t="s">
        <v>668</v>
      </c>
      <c r="E489" s="33" t="s">
        <v>669</v>
      </c>
      <c r="F489" s="33" t="s">
        <v>678</v>
      </c>
    </row>
    <row r="490" spans="1:6" x14ac:dyDescent="0.3">
      <c r="B490" s="29">
        <v>44105</v>
      </c>
      <c r="C490" t="s">
        <v>55</v>
      </c>
      <c r="D490" s="25" t="s">
        <v>670</v>
      </c>
    </row>
    <row r="491" spans="1:6" x14ac:dyDescent="0.3">
      <c r="B491" s="29">
        <v>44114</v>
      </c>
      <c r="C491" t="s">
        <v>157</v>
      </c>
      <c r="D491" s="25" t="s">
        <v>381</v>
      </c>
    </row>
    <row r="492" spans="1:6" x14ac:dyDescent="0.3">
      <c r="B492" s="29">
        <v>44115</v>
      </c>
      <c r="C492" t="s">
        <v>314</v>
      </c>
      <c r="D492" s="25" t="s">
        <v>673</v>
      </c>
    </row>
    <row r="493" spans="1:6" x14ac:dyDescent="0.3">
      <c r="B493" s="29">
        <v>44128</v>
      </c>
      <c r="C493" t="s">
        <v>674</v>
      </c>
      <c r="D493" s="25" t="s">
        <v>566</v>
      </c>
    </row>
    <row r="494" spans="1:6" x14ac:dyDescent="0.3">
      <c r="B494" s="29">
        <v>44136</v>
      </c>
      <c r="C494" t="s">
        <v>383</v>
      </c>
      <c r="D494" s="25" t="s">
        <v>672</v>
      </c>
    </row>
    <row r="495" spans="1:6" x14ac:dyDescent="0.3">
      <c r="B495" s="29">
        <v>44148</v>
      </c>
      <c r="C495" t="s">
        <v>579</v>
      </c>
      <c r="D495" s="25" t="s">
        <v>675</v>
      </c>
    </row>
    <row r="496" spans="1:6" x14ac:dyDescent="0.3">
      <c r="B496" s="29">
        <v>44149</v>
      </c>
      <c r="C496" t="s">
        <v>520</v>
      </c>
      <c r="D496" s="25" t="s">
        <v>673</v>
      </c>
    </row>
    <row r="497" spans="1:6" x14ac:dyDescent="0.3">
      <c r="B497" s="29" t="s">
        <v>677</v>
      </c>
      <c r="C497" t="s">
        <v>676</v>
      </c>
      <c r="D497" s="25" t="s">
        <v>485</v>
      </c>
    </row>
    <row r="498" spans="1:6" x14ac:dyDescent="0.3">
      <c r="B498" s="29">
        <v>44157</v>
      </c>
      <c r="C498" t="s">
        <v>320</v>
      </c>
      <c r="D498" s="25" t="s">
        <v>371</v>
      </c>
    </row>
    <row r="499" spans="1:6" x14ac:dyDescent="0.3">
      <c r="A499" t="s">
        <v>679</v>
      </c>
      <c r="E499" s="33" t="s">
        <v>687</v>
      </c>
      <c r="F499" s="33" t="s">
        <v>595</v>
      </c>
    </row>
    <row r="500" spans="1:6" x14ac:dyDescent="0.3">
      <c r="B500" s="29">
        <v>44122</v>
      </c>
      <c r="C500" t="s">
        <v>189</v>
      </c>
      <c r="D500" s="25" t="s">
        <v>393</v>
      </c>
    </row>
    <row r="501" spans="1:6" x14ac:dyDescent="0.3">
      <c r="B501" s="29">
        <v>44129</v>
      </c>
      <c r="C501" t="s">
        <v>1331</v>
      </c>
      <c r="D501" s="25" t="s">
        <v>680</v>
      </c>
    </row>
    <row r="502" spans="1:6" x14ac:dyDescent="0.3">
      <c r="B502" s="29">
        <v>44131</v>
      </c>
      <c r="C502" t="s">
        <v>286</v>
      </c>
      <c r="D502" s="25" t="s">
        <v>681</v>
      </c>
    </row>
    <row r="503" spans="1:6" x14ac:dyDescent="0.3">
      <c r="B503" s="29">
        <v>44143</v>
      </c>
      <c r="C503" t="s">
        <v>682</v>
      </c>
      <c r="D503" s="25" t="s">
        <v>683</v>
      </c>
    </row>
    <row r="504" spans="1:6" x14ac:dyDescent="0.3">
      <c r="B504" s="29">
        <v>44150</v>
      </c>
      <c r="C504" t="s">
        <v>697</v>
      </c>
      <c r="D504" s="25" t="s">
        <v>684</v>
      </c>
    </row>
    <row r="505" spans="1:6" x14ac:dyDescent="0.3">
      <c r="B505" s="29" t="s">
        <v>685</v>
      </c>
      <c r="C505" t="s">
        <v>266</v>
      </c>
      <c r="D505" s="25" t="s">
        <v>686</v>
      </c>
    </row>
    <row r="507" spans="1:6" x14ac:dyDescent="0.3">
      <c r="A507" s="76">
        <v>1903</v>
      </c>
      <c r="B507" s="76"/>
      <c r="C507" s="76"/>
      <c r="D507" s="76"/>
    </row>
    <row r="508" spans="1:6" x14ac:dyDescent="0.3">
      <c r="A508" t="s">
        <v>688</v>
      </c>
      <c r="B508" s="36"/>
      <c r="C508" s="36"/>
      <c r="D508" s="24"/>
      <c r="E508" s="33" t="s">
        <v>254</v>
      </c>
      <c r="F508" s="33" t="s">
        <v>518</v>
      </c>
    </row>
    <row r="509" spans="1:6" x14ac:dyDescent="0.3">
      <c r="B509" s="29">
        <v>44100</v>
      </c>
      <c r="C509" t="s">
        <v>314</v>
      </c>
      <c r="D509" s="25" t="s">
        <v>648</v>
      </c>
    </row>
    <row r="510" spans="1:6" x14ac:dyDescent="0.3">
      <c r="B510" s="29" t="s">
        <v>534</v>
      </c>
      <c r="C510" t="s">
        <v>266</v>
      </c>
      <c r="D510" s="25" t="s">
        <v>689</v>
      </c>
    </row>
    <row r="511" spans="1:6" x14ac:dyDescent="0.3">
      <c r="B511" s="29">
        <v>44110</v>
      </c>
      <c r="C511" t="s">
        <v>506</v>
      </c>
      <c r="D511" s="25" t="s">
        <v>371</v>
      </c>
    </row>
    <row r="512" spans="1:6" x14ac:dyDescent="0.3">
      <c r="B512" s="29">
        <v>44127</v>
      </c>
      <c r="C512" t="s">
        <v>524</v>
      </c>
      <c r="D512" s="25" t="s">
        <v>404</v>
      </c>
    </row>
    <row r="513" spans="1:6" x14ac:dyDescent="0.3">
      <c r="B513" s="29">
        <v>1402</v>
      </c>
      <c r="C513" t="s">
        <v>119</v>
      </c>
      <c r="D513" s="25" t="s">
        <v>578</v>
      </c>
    </row>
    <row r="514" spans="1:6" x14ac:dyDescent="0.3">
      <c r="B514" s="29">
        <v>44146</v>
      </c>
      <c r="C514" t="s">
        <v>291</v>
      </c>
      <c r="D514" s="25" t="s">
        <v>417</v>
      </c>
    </row>
    <row r="515" spans="1:6" x14ac:dyDescent="0.3">
      <c r="A515" t="s">
        <v>1335</v>
      </c>
    </row>
    <row r="516" spans="1:6" x14ac:dyDescent="0.3">
      <c r="B516" s="29">
        <v>44107</v>
      </c>
      <c r="C516" t="s">
        <v>168</v>
      </c>
      <c r="D516" s="25" t="s">
        <v>417</v>
      </c>
      <c r="E516" s="33" t="s">
        <v>324</v>
      </c>
      <c r="F516" s="33" t="s">
        <v>415</v>
      </c>
    </row>
    <row r="517" spans="1:6" x14ac:dyDescent="0.3">
      <c r="B517" s="29">
        <v>44112</v>
      </c>
      <c r="C517" t="s">
        <v>690</v>
      </c>
      <c r="D517" s="25" t="s">
        <v>423</v>
      </c>
    </row>
    <row r="518" spans="1:6" x14ac:dyDescent="0.3">
      <c r="B518" s="29" t="s">
        <v>297</v>
      </c>
      <c r="C518" t="s">
        <v>291</v>
      </c>
      <c r="D518" s="25" t="s">
        <v>357</v>
      </c>
    </row>
    <row r="519" spans="1:6" x14ac:dyDescent="0.3">
      <c r="B519" s="29">
        <v>44121</v>
      </c>
      <c r="C519" t="s">
        <v>642</v>
      </c>
      <c r="D519" s="25" t="s">
        <v>691</v>
      </c>
    </row>
    <row r="520" spans="1:6" x14ac:dyDescent="0.3">
      <c r="A520" t="s">
        <v>1218</v>
      </c>
      <c r="E520" s="33" t="s">
        <v>324</v>
      </c>
      <c r="F520" s="33" t="s">
        <v>390</v>
      </c>
    </row>
    <row r="521" spans="1:6" x14ac:dyDescent="0.3">
      <c r="B521" s="29">
        <v>44118</v>
      </c>
      <c r="C521" t="s">
        <v>161</v>
      </c>
      <c r="D521" s="25" t="s">
        <v>452</v>
      </c>
    </row>
    <row r="522" spans="1:6" x14ac:dyDescent="0.3">
      <c r="B522" s="29" t="s">
        <v>692</v>
      </c>
      <c r="C522" t="s">
        <v>291</v>
      </c>
      <c r="D522" s="25" t="s">
        <v>693</v>
      </c>
    </row>
    <row r="523" spans="1:6" x14ac:dyDescent="0.3">
      <c r="B523" s="29">
        <v>44128</v>
      </c>
      <c r="C523" t="s">
        <v>453</v>
      </c>
      <c r="D523" s="25" t="s">
        <v>474</v>
      </c>
    </row>
    <row r="524" spans="1:6" x14ac:dyDescent="0.3">
      <c r="B524" s="29">
        <v>44142</v>
      </c>
      <c r="C524" t="s">
        <v>694</v>
      </c>
      <c r="D524" s="25" t="s">
        <v>693</v>
      </c>
    </row>
    <row r="525" spans="1:6" x14ac:dyDescent="0.3">
      <c r="B525" s="29">
        <v>44156</v>
      </c>
      <c r="C525" t="s">
        <v>481</v>
      </c>
      <c r="D525" s="25" t="s">
        <v>446</v>
      </c>
    </row>
    <row r="526" spans="1:6" x14ac:dyDescent="0.3">
      <c r="B526" s="29">
        <v>44160</v>
      </c>
      <c r="C526" t="s">
        <v>695</v>
      </c>
      <c r="D526" s="25" t="s">
        <v>395</v>
      </c>
    </row>
    <row r="527" spans="1:6" x14ac:dyDescent="0.3">
      <c r="A527" t="s">
        <v>696</v>
      </c>
      <c r="E527" s="39" t="s">
        <v>699</v>
      </c>
      <c r="F527" s="39" t="s">
        <v>700</v>
      </c>
    </row>
    <row r="528" spans="1:6" x14ac:dyDescent="0.3">
      <c r="B528" s="29" t="s">
        <v>388</v>
      </c>
      <c r="C528" t="s">
        <v>291</v>
      </c>
      <c r="D528" s="25" t="s">
        <v>680</v>
      </c>
    </row>
    <row r="529" spans="1:6" x14ac:dyDescent="0.3">
      <c r="B529" s="29">
        <v>44130</v>
      </c>
      <c r="C529" s="34" t="s">
        <v>288</v>
      </c>
      <c r="D529" s="25" t="s">
        <v>412</v>
      </c>
    </row>
    <row r="530" spans="1:6" x14ac:dyDescent="0.3">
      <c r="B530" s="29" t="s">
        <v>704</v>
      </c>
      <c r="C530" t="s">
        <v>698</v>
      </c>
      <c r="D530" s="25" t="s">
        <v>704</v>
      </c>
    </row>
    <row r="531" spans="1:6" x14ac:dyDescent="0.3">
      <c r="A531" t="s">
        <v>701</v>
      </c>
      <c r="E531" s="40" t="s">
        <v>563</v>
      </c>
      <c r="F531" s="40" t="s">
        <v>707</v>
      </c>
    </row>
    <row r="532" spans="1:6" x14ac:dyDescent="0.3">
      <c r="B532" s="29">
        <v>44114</v>
      </c>
      <c r="C532" t="s">
        <v>520</v>
      </c>
      <c r="D532" s="25" t="s">
        <v>452</v>
      </c>
    </row>
    <row r="533" spans="1:6" x14ac:dyDescent="0.3">
      <c r="B533" s="29">
        <v>44121</v>
      </c>
      <c r="C533" t="s">
        <v>579</v>
      </c>
      <c r="D533" s="25" t="s">
        <v>702</v>
      </c>
    </row>
    <row r="534" spans="1:6" x14ac:dyDescent="0.3">
      <c r="B534" s="29" t="s">
        <v>491</v>
      </c>
      <c r="C534" t="s">
        <v>703</v>
      </c>
      <c r="D534" s="25" t="s">
        <v>423</v>
      </c>
    </row>
    <row r="535" spans="1:6" x14ac:dyDescent="0.3">
      <c r="B535" s="29">
        <v>44142</v>
      </c>
      <c r="C535" t="s">
        <v>266</v>
      </c>
      <c r="D535" s="25" t="s">
        <v>417</v>
      </c>
    </row>
    <row r="536" spans="1:6" x14ac:dyDescent="0.3">
      <c r="B536" s="29">
        <v>44149</v>
      </c>
      <c r="C536" t="s">
        <v>314</v>
      </c>
      <c r="D536" s="25" t="s">
        <v>705</v>
      </c>
    </row>
    <row r="537" spans="1:6" x14ac:dyDescent="0.3">
      <c r="B537" s="29">
        <v>44156</v>
      </c>
      <c r="C537" t="s">
        <v>448</v>
      </c>
      <c r="D537" s="25" t="s">
        <v>423</v>
      </c>
    </row>
    <row r="538" spans="1:6" x14ac:dyDescent="0.3">
      <c r="B538" s="29">
        <v>44161</v>
      </c>
      <c r="C538" t="s">
        <v>706</v>
      </c>
      <c r="D538" s="25" t="s">
        <v>480</v>
      </c>
    </row>
    <row r="539" spans="1:6" x14ac:dyDescent="0.3">
      <c r="A539" t="s">
        <v>708</v>
      </c>
      <c r="E539" s="33" t="s">
        <v>581</v>
      </c>
      <c r="F539" s="33" t="s">
        <v>716</v>
      </c>
    </row>
    <row r="540" spans="1:6" x14ac:dyDescent="0.3">
      <c r="B540" s="29">
        <v>44098</v>
      </c>
      <c r="C540" t="s">
        <v>709</v>
      </c>
      <c r="D540" s="25" t="s">
        <v>710</v>
      </c>
    </row>
    <row r="541" spans="1:6" x14ac:dyDescent="0.3">
      <c r="B541" s="29">
        <v>44105</v>
      </c>
      <c r="C541" t="s">
        <v>713</v>
      </c>
      <c r="D541" s="25" t="s">
        <v>693</v>
      </c>
    </row>
    <row r="542" spans="1:6" x14ac:dyDescent="0.3">
      <c r="B542" s="29">
        <v>44121</v>
      </c>
      <c r="C542" t="s">
        <v>383</v>
      </c>
      <c r="D542" s="25" t="s">
        <v>381</v>
      </c>
    </row>
    <row r="543" spans="1:6" x14ac:dyDescent="0.3">
      <c r="B543" s="29">
        <v>44135</v>
      </c>
      <c r="C543" t="s">
        <v>314</v>
      </c>
      <c r="D543" s="25" t="s">
        <v>494</v>
      </c>
    </row>
    <row r="544" spans="1:6" x14ac:dyDescent="0.3">
      <c r="B544" s="29" t="s">
        <v>570</v>
      </c>
      <c r="C544" t="s">
        <v>266</v>
      </c>
      <c r="D544" s="25" t="s">
        <v>391</v>
      </c>
    </row>
    <row r="545" spans="1:6" x14ac:dyDescent="0.3">
      <c r="B545" s="29">
        <v>44149</v>
      </c>
      <c r="C545" t="s">
        <v>712</v>
      </c>
      <c r="D545" s="25" t="s">
        <v>711</v>
      </c>
    </row>
    <row r="546" spans="1:6" x14ac:dyDescent="0.3">
      <c r="B546" s="29">
        <v>44154</v>
      </c>
      <c r="C546" t="s">
        <v>714</v>
      </c>
      <c r="D546" s="25" t="s">
        <v>715</v>
      </c>
    </row>
    <row r="547" spans="1:6" x14ac:dyDescent="0.3">
      <c r="B547" s="29">
        <v>44161</v>
      </c>
      <c r="C547" t="s">
        <v>307</v>
      </c>
      <c r="D547" s="25" t="s">
        <v>578</v>
      </c>
    </row>
    <row r="548" spans="1:6" x14ac:dyDescent="0.3">
      <c r="A548" t="s">
        <v>717</v>
      </c>
      <c r="E548" s="40" t="s">
        <v>699</v>
      </c>
      <c r="F548" s="40" t="s">
        <v>707</v>
      </c>
    </row>
    <row r="549" spans="1:6" x14ac:dyDescent="0.3">
      <c r="B549" s="29">
        <v>44114</v>
      </c>
      <c r="C549" t="s">
        <v>520</v>
      </c>
      <c r="D549" s="25" t="s">
        <v>452</v>
      </c>
    </row>
    <row r="550" spans="1:6" x14ac:dyDescent="0.3">
      <c r="B550" s="29">
        <v>44121</v>
      </c>
      <c r="C550" t="s">
        <v>579</v>
      </c>
      <c r="D550" s="25" t="s">
        <v>702</v>
      </c>
    </row>
    <row r="551" spans="1:6" x14ac:dyDescent="0.3">
      <c r="B551" s="29">
        <v>44132</v>
      </c>
      <c r="C551" t="s">
        <v>703</v>
      </c>
      <c r="D551" s="25" t="s">
        <v>423</v>
      </c>
    </row>
    <row r="552" spans="1:6" x14ac:dyDescent="0.3">
      <c r="B552" s="29" t="s">
        <v>313</v>
      </c>
      <c r="C552" t="s">
        <v>266</v>
      </c>
      <c r="D552" s="25" t="s">
        <v>417</v>
      </c>
    </row>
    <row r="553" spans="1:6" x14ac:dyDescent="0.3">
      <c r="B553" s="29">
        <v>44149</v>
      </c>
      <c r="C553" t="s">
        <v>314</v>
      </c>
      <c r="D553" s="25" t="s">
        <v>705</v>
      </c>
    </row>
    <row r="554" spans="1:6" x14ac:dyDescent="0.3">
      <c r="B554" s="29">
        <v>44156</v>
      </c>
      <c r="C554" t="s">
        <v>448</v>
      </c>
      <c r="D554" s="25" t="s">
        <v>423</v>
      </c>
    </row>
    <row r="555" spans="1:6" x14ac:dyDescent="0.3">
      <c r="B555" s="29">
        <v>44161</v>
      </c>
      <c r="C555" t="s">
        <v>706</v>
      </c>
      <c r="D555" s="25" t="s">
        <v>480</v>
      </c>
    </row>
    <row r="556" spans="1:6" x14ac:dyDescent="0.3">
      <c r="A556" t="s">
        <v>718</v>
      </c>
      <c r="B556" s="36"/>
      <c r="C556" s="36"/>
      <c r="D556" s="24"/>
      <c r="E556" s="33" t="s">
        <v>518</v>
      </c>
      <c r="F556" s="33" t="s">
        <v>518</v>
      </c>
    </row>
    <row r="557" spans="1:6" x14ac:dyDescent="0.3">
      <c r="B557" s="29">
        <v>44100</v>
      </c>
      <c r="C557" t="s">
        <v>314</v>
      </c>
      <c r="D557" s="25" t="s">
        <v>648</v>
      </c>
    </row>
    <row r="558" spans="1:6" x14ac:dyDescent="0.3">
      <c r="B558" s="29">
        <v>44109</v>
      </c>
      <c r="C558" t="s">
        <v>266</v>
      </c>
      <c r="D558" s="25" t="s">
        <v>689</v>
      </c>
    </row>
    <row r="559" spans="1:6" x14ac:dyDescent="0.3">
      <c r="B559" s="29">
        <v>44110</v>
      </c>
      <c r="C559" t="s">
        <v>506</v>
      </c>
      <c r="D559" s="25" t="s">
        <v>371</v>
      </c>
    </row>
    <row r="560" spans="1:6" x14ac:dyDescent="0.3">
      <c r="B560" s="29">
        <v>44127</v>
      </c>
      <c r="C560" t="s">
        <v>524</v>
      </c>
      <c r="D560" s="25" t="s">
        <v>404</v>
      </c>
    </row>
    <row r="561" spans="1:6" x14ac:dyDescent="0.3">
      <c r="B561" s="29">
        <v>1402</v>
      </c>
      <c r="C561" t="s">
        <v>119</v>
      </c>
      <c r="D561" s="25" t="s">
        <v>578</v>
      </c>
    </row>
    <row r="562" spans="1:6" x14ac:dyDescent="0.3">
      <c r="B562" s="29" t="s">
        <v>719</v>
      </c>
      <c r="C562" t="s">
        <v>291</v>
      </c>
      <c r="D562" s="25" t="s">
        <v>417</v>
      </c>
    </row>
    <row r="563" spans="1:6" x14ac:dyDescent="0.3">
      <c r="A563" t="s">
        <v>720</v>
      </c>
      <c r="E563" s="33" t="s">
        <v>632</v>
      </c>
      <c r="F563" s="33" t="s">
        <v>725</v>
      </c>
    </row>
    <row r="564" spans="1:6" x14ac:dyDescent="0.3">
      <c r="B564" s="29">
        <v>44106</v>
      </c>
      <c r="C564" t="s">
        <v>721</v>
      </c>
      <c r="D564" s="25" t="s">
        <v>423</v>
      </c>
    </row>
    <row r="565" spans="1:6" x14ac:dyDescent="0.3">
      <c r="B565" s="29">
        <v>44110</v>
      </c>
      <c r="C565" t="s">
        <v>722</v>
      </c>
      <c r="D565" s="25" t="s">
        <v>723</v>
      </c>
    </row>
    <row r="566" spans="1:6" x14ac:dyDescent="0.3">
      <c r="B566" s="29">
        <v>44114</v>
      </c>
      <c r="C566" t="s">
        <v>65</v>
      </c>
      <c r="D566" s="25" t="s">
        <v>472</v>
      </c>
    </row>
    <row r="567" spans="1:6" x14ac:dyDescent="0.3">
      <c r="B567" s="29">
        <v>44121</v>
      </c>
      <c r="C567" t="s">
        <v>520</v>
      </c>
      <c r="D567" s="25" t="s">
        <v>578</v>
      </c>
    </row>
    <row r="568" spans="1:6" x14ac:dyDescent="0.3">
      <c r="B568" s="29">
        <v>44127</v>
      </c>
      <c r="C568" t="s">
        <v>103</v>
      </c>
      <c r="D568" s="25" t="s">
        <v>452</v>
      </c>
    </row>
    <row r="569" spans="1:6" x14ac:dyDescent="0.3">
      <c r="B569" s="29">
        <v>44133</v>
      </c>
      <c r="C569" t="s">
        <v>51</v>
      </c>
      <c r="D569" s="25" t="s">
        <v>423</v>
      </c>
    </row>
    <row r="570" spans="1:6" x14ac:dyDescent="0.3">
      <c r="B570" s="29">
        <v>44143</v>
      </c>
      <c r="C570" t="s">
        <v>448</v>
      </c>
      <c r="D570" s="25" t="s">
        <v>724</v>
      </c>
    </row>
    <row r="571" spans="1:6" x14ac:dyDescent="0.3">
      <c r="B571" s="29" t="s">
        <v>666</v>
      </c>
      <c r="C571" t="s">
        <v>266</v>
      </c>
      <c r="D571" s="25" t="s">
        <v>487</v>
      </c>
    </row>
    <row r="572" spans="1:6" x14ac:dyDescent="0.3">
      <c r="B572" s="29">
        <v>44156</v>
      </c>
      <c r="C572" t="s">
        <v>636</v>
      </c>
      <c r="D572" s="25" t="s">
        <v>357</v>
      </c>
    </row>
    <row r="573" spans="1:6" x14ac:dyDescent="0.3">
      <c r="B573" s="29">
        <v>44161</v>
      </c>
      <c r="C573" t="s">
        <v>579</v>
      </c>
      <c r="D573" s="25" t="s">
        <v>287</v>
      </c>
    </row>
    <row r="574" spans="1:6" x14ac:dyDescent="0.3">
      <c r="A574" t="s">
        <v>726</v>
      </c>
      <c r="E574" s="33" t="s">
        <v>738</v>
      </c>
      <c r="F574" s="33" t="s">
        <v>739</v>
      </c>
    </row>
    <row r="575" spans="1:6" x14ac:dyDescent="0.3">
      <c r="B575" s="29">
        <v>44111</v>
      </c>
      <c r="C575" s="34" t="s">
        <v>727</v>
      </c>
      <c r="D575" s="25" t="s">
        <v>541</v>
      </c>
    </row>
    <row r="576" spans="1:6" x14ac:dyDescent="0.3">
      <c r="B576" s="29">
        <v>44114</v>
      </c>
      <c r="C576" s="34" t="s">
        <v>728</v>
      </c>
      <c r="D576" s="25" t="s">
        <v>367</v>
      </c>
    </row>
    <row r="577" spans="1:6" x14ac:dyDescent="0.3">
      <c r="B577" s="29">
        <v>44123</v>
      </c>
      <c r="C577" s="34" t="s">
        <v>175</v>
      </c>
      <c r="D577" s="25" t="s">
        <v>521</v>
      </c>
    </row>
    <row r="578" spans="1:6" x14ac:dyDescent="0.3">
      <c r="B578" s="29">
        <v>44130</v>
      </c>
      <c r="C578" s="34" t="s">
        <v>168</v>
      </c>
      <c r="D578" s="25" t="s">
        <v>412</v>
      </c>
    </row>
    <row r="579" spans="1:6" x14ac:dyDescent="0.3">
      <c r="B579" s="29">
        <v>44135</v>
      </c>
      <c r="C579" s="34" t="s">
        <v>730</v>
      </c>
      <c r="D579" s="25" t="s">
        <v>554</v>
      </c>
    </row>
    <row r="580" spans="1:6" x14ac:dyDescent="0.3">
      <c r="B580" s="29">
        <v>44142</v>
      </c>
      <c r="C580" s="34" t="s">
        <v>737</v>
      </c>
      <c r="D580" s="25" t="s">
        <v>731</v>
      </c>
    </row>
    <row r="581" spans="1:6" x14ac:dyDescent="0.3">
      <c r="B581" s="29">
        <v>44149</v>
      </c>
      <c r="C581" s="34" t="s">
        <v>732</v>
      </c>
      <c r="D581" s="25" t="s">
        <v>423</v>
      </c>
    </row>
    <row r="582" spans="1:6" x14ac:dyDescent="0.3">
      <c r="B582" s="29">
        <v>44156</v>
      </c>
      <c r="C582" s="34" t="s">
        <v>189</v>
      </c>
      <c r="D582" s="25" t="s">
        <v>287</v>
      </c>
    </row>
    <row r="583" spans="1:6" x14ac:dyDescent="0.3">
      <c r="B583" s="29" t="s">
        <v>592</v>
      </c>
      <c r="C583" t="s">
        <v>266</v>
      </c>
      <c r="D583" s="25" t="s">
        <v>733</v>
      </c>
    </row>
    <row r="584" spans="1:6" x14ac:dyDescent="0.3">
      <c r="B584" s="29">
        <v>44161</v>
      </c>
      <c r="C584" s="34" t="s">
        <v>734</v>
      </c>
      <c r="D584" s="25" t="s">
        <v>735</v>
      </c>
    </row>
    <row r="585" spans="1:6" x14ac:dyDescent="0.3">
      <c r="A585" t="s">
        <v>740</v>
      </c>
      <c r="E585" s="33" t="s">
        <v>594</v>
      </c>
      <c r="F585" s="33" t="s">
        <v>594</v>
      </c>
    </row>
    <row r="586" spans="1:6" x14ac:dyDescent="0.3">
      <c r="B586" s="29">
        <v>44107</v>
      </c>
      <c r="C586" s="34" t="s">
        <v>383</v>
      </c>
      <c r="D586" s="25" t="s">
        <v>355</v>
      </c>
    </row>
    <row r="587" spans="1:6" x14ac:dyDescent="0.3">
      <c r="B587" s="29">
        <v>44113</v>
      </c>
      <c r="C587" t="s">
        <v>741</v>
      </c>
      <c r="D587" s="25" t="s">
        <v>742</v>
      </c>
    </row>
    <row r="588" spans="1:6" x14ac:dyDescent="0.3">
      <c r="B588" s="29">
        <v>44114</v>
      </c>
      <c r="C588" t="s">
        <v>690</v>
      </c>
      <c r="D588" s="25" t="s">
        <v>298</v>
      </c>
    </row>
    <row r="589" spans="1:6" x14ac:dyDescent="0.3">
      <c r="B589" s="29">
        <v>44121</v>
      </c>
      <c r="C589" t="s">
        <v>743</v>
      </c>
      <c r="D589" s="25" t="s">
        <v>616</v>
      </c>
    </row>
    <row r="590" spans="1:6" x14ac:dyDescent="0.3">
      <c r="B590" s="29">
        <v>44123</v>
      </c>
      <c r="C590" s="34" t="s">
        <v>288</v>
      </c>
      <c r="D590" s="25" t="s">
        <v>446</v>
      </c>
    </row>
    <row r="592" spans="1:6" x14ac:dyDescent="0.3">
      <c r="A592" s="76">
        <v>1904</v>
      </c>
      <c r="B592" s="76"/>
      <c r="C592" s="76"/>
      <c r="D592" s="76"/>
    </row>
    <row r="593" spans="1:6" x14ac:dyDescent="0.3">
      <c r="A593" t="s">
        <v>744</v>
      </c>
      <c r="E593" s="33" t="s">
        <v>253</v>
      </c>
      <c r="F593" s="33" t="s">
        <v>746</v>
      </c>
    </row>
    <row r="594" spans="1:6" x14ac:dyDescent="0.3">
      <c r="B594" s="29" t="s">
        <v>745</v>
      </c>
      <c r="C594" t="s">
        <v>266</v>
      </c>
      <c r="D594" s="25" t="s">
        <v>748</v>
      </c>
    </row>
    <row r="595" spans="1:6" x14ac:dyDescent="0.3">
      <c r="B595" s="29">
        <v>44105</v>
      </c>
      <c r="C595" t="s">
        <v>314</v>
      </c>
      <c r="D595" s="25" t="s">
        <v>681</v>
      </c>
    </row>
    <row r="596" spans="1:6" x14ac:dyDescent="0.3">
      <c r="B596" s="29">
        <v>44114</v>
      </c>
      <c r="C596" t="s">
        <v>119</v>
      </c>
      <c r="D596" s="25" t="s">
        <v>317</v>
      </c>
    </row>
    <row r="597" spans="1:6" x14ac:dyDescent="0.3">
      <c r="B597" s="29">
        <v>44124</v>
      </c>
      <c r="C597" t="s">
        <v>524</v>
      </c>
      <c r="D597" s="25" t="s">
        <v>747</v>
      </c>
    </row>
    <row r="598" spans="1:6" x14ac:dyDescent="0.3">
      <c r="B598" s="29">
        <v>44125</v>
      </c>
      <c r="C598" t="s">
        <v>531</v>
      </c>
      <c r="D598" s="25" t="s">
        <v>381</v>
      </c>
    </row>
    <row r="599" spans="1:6" x14ac:dyDescent="0.3">
      <c r="B599" s="29">
        <v>44152</v>
      </c>
      <c r="C599" t="s">
        <v>291</v>
      </c>
      <c r="D599" s="25" t="s">
        <v>417</v>
      </c>
    </row>
    <row r="600" spans="1:6" x14ac:dyDescent="0.3">
      <c r="B600" s="29">
        <v>44159</v>
      </c>
      <c r="C600" t="s">
        <v>749</v>
      </c>
      <c r="D600" s="25" t="s">
        <v>750</v>
      </c>
    </row>
    <row r="601" spans="1:6" x14ac:dyDescent="0.3">
      <c r="A601" t="s">
        <v>1336</v>
      </c>
      <c r="E601" s="33" t="s">
        <v>253</v>
      </c>
      <c r="F601" s="33" t="s">
        <v>756</v>
      </c>
    </row>
    <row r="602" spans="1:6" x14ac:dyDescent="0.3">
      <c r="B602" s="29" t="s">
        <v>751</v>
      </c>
      <c r="C602" t="s">
        <v>291</v>
      </c>
      <c r="D602" s="25" t="s">
        <v>381</v>
      </c>
    </row>
    <row r="603" spans="1:6" x14ac:dyDescent="0.3">
      <c r="B603" s="29">
        <v>44112</v>
      </c>
      <c r="C603" t="s">
        <v>481</v>
      </c>
      <c r="D603" s="25" t="s">
        <v>428</v>
      </c>
    </row>
    <row r="604" spans="1:6" x14ac:dyDescent="0.3">
      <c r="B604" s="29">
        <v>44114</v>
      </c>
      <c r="C604" t="s">
        <v>752</v>
      </c>
      <c r="D604" s="25" t="s">
        <v>753</v>
      </c>
    </row>
    <row r="605" spans="1:6" x14ac:dyDescent="0.3">
      <c r="B605" s="29">
        <v>44119</v>
      </c>
      <c r="C605" t="s">
        <v>383</v>
      </c>
      <c r="D605" s="25" t="s">
        <v>472</v>
      </c>
    </row>
    <row r="606" spans="1:6" x14ac:dyDescent="0.3">
      <c r="B606" s="29">
        <v>44126</v>
      </c>
      <c r="C606" t="s">
        <v>754</v>
      </c>
      <c r="D606" s="25" t="s">
        <v>271</v>
      </c>
    </row>
    <row r="607" spans="1:6" x14ac:dyDescent="0.3">
      <c r="B607" s="29">
        <v>44133</v>
      </c>
      <c r="C607" t="s">
        <v>112</v>
      </c>
      <c r="D607" s="25" t="s">
        <v>357</v>
      </c>
    </row>
    <row r="608" spans="1:6" x14ac:dyDescent="0.3">
      <c r="B608" s="29">
        <v>44147</v>
      </c>
      <c r="C608" t="s">
        <v>755</v>
      </c>
      <c r="D608" s="25" t="s">
        <v>575</v>
      </c>
    </row>
    <row r="609" spans="1:6" x14ac:dyDescent="0.3">
      <c r="B609" s="29">
        <v>44159</v>
      </c>
      <c r="C609" t="s">
        <v>1209</v>
      </c>
      <c r="D609" s="25" t="s">
        <v>553</v>
      </c>
    </row>
    <row r="610" spans="1:6" x14ac:dyDescent="0.3">
      <c r="A610" t="s">
        <v>757</v>
      </c>
      <c r="E610" s="33" t="s">
        <v>324</v>
      </c>
      <c r="F610" s="33" t="s">
        <v>444</v>
      </c>
    </row>
    <row r="611" spans="1:6" x14ac:dyDescent="0.3">
      <c r="B611" s="29">
        <v>44105</v>
      </c>
      <c r="C611" t="s">
        <v>758</v>
      </c>
      <c r="D611" s="25" t="s">
        <v>759</v>
      </c>
    </row>
    <row r="612" spans="1:6" x14ac:dyDescent="0.3">
      <c r="B612" s="29" t="s">
        <v>762</v>
      </c>
      <c r="C612" t="s">
        <v>291</v>
      </c>
      <c r="D612" s="25" t="s">
        <v>417</v>
      </c>
    </row>
    <row r="613" spans="1:6" x14ac:dyDescent="0.3">
      <c r="B613" s="29">
        <v>44112</v>
      </c>
      <c r="C613" t="s">
        <v>760</v>
      </c>
      <c r="D613" s="25" t="s">
        <v>761</v>
      </c>
    </row>
    <row r="614" spans="1:6" x14ac:dyDescent="0.3">
      <c r="B614" s="29">
        <v>44119</v>
      </c>
      <c r="C614" t="s">
        <v>763</v>
      </c>
      <c r="D614" s="25" t="s">
        <v>764</v>
      </c>
    </row>
    <row r="615" spans="1:6" x14ac:dyDescent="0.3">
      <c r="B615" s="29">
        <v>44126</v>
      </c>
      <c r="C615" t="s">
        <v>765</v>
      </c>
      <c r="D615" s="25" t="s">
        <v>766</v>
      </c>
    </row>
    <row r="616" spans="1:6" x14ac:dyDescent="0.3">
      <c r="B616" s="29">
        <v>44133</v>
      </c>
      <c r="C616" t="s">
        <v>767</v>
      </c>
      <c r="D616" s="25" t="s">
        <v>768</v>
      </c>
    </row>
    <row r="617" spans="1:6" x14ac:dyDescent="0.3">
      <c r="B617" s="29">
        <v>44140</v>
      </c>
      <c r="C617" t="s">
        <v>51</v>
      </c>
      <c r="D617" s="25" t="s">
        <v>298</v>
      </c>
    </row>
    <row r="618" spans="1:6" x14ac:dyDescent="0.3">
      <c r="B618" s="29">
        <v>44147</v>
      </c>
      <c r="C618" t="s">
        <v>769</v>
      </c>
      <c r="D618" s="25" t="s">
        <v>770</v>
      </c>
    </row>
    <row r="619" spans="1:6" x14ac:dyDescent="0.3">
      <c r="B619" s="29">
        <v>44154</v>
      </c>
      <c r="C619" t="s">
        <v>771</v>
      </c>
      <c r="D619" s="25" t="s">
        <v>298</v>
      </c>
    </row>
    <row r="620" spans="1:6" x14ac:dyDescent="0.3">
      <c r="B620" s="29">
        <v>44159</v>
      </c>
      <c r="C620" t="s">
        <v>585</v>
      </c>
      <c r="D620" s="25" t="s">
        <v>575</v>
      </c>
    </row>
    <row r="621" spans="1:6" x14ac:dyDescent="0.3">
      <c r="A621" t="s">
        <v>772</v>
      </c>
      <c r="E621" s="33" t="s">
        <v>415</v>
      </c>
      <c r="F621" s="33" t="s">
        <v>337</v>
      </c>
    </row>
    <row r="622" spans="1:6" x14ac:dyDescent="0.3">
      <c r="B622" s="29">
        <v>44098</v>
      </c>
      <c r="C622" t="s">
        <v>189</v>
      </c>
      <c r="D622" s="25" t="s">
        <v>287</v>
      </c>
    </row>
    <row r="623" spans="1:6" x14ac:dyDescent="0.3">
      <c r="B623" s="29">
        <v>44102</v>
      </c>
      <c r="C623" t="s">
        <v>175</v>
      </c>
      <c r="D623" s="25" t="s">
        <v>578</v>
      </c>
    </row>
    <row r="624" spans="1:6" x14ac:dyDescent="0.3">
      <c r="B624" s="29">
        <v>44105</v>
      </c>
      <c r="C624" t="s">
        <v>773</v>
      </c>
      <c r="D624" s="25" t="s">
        <v>601</v>
      </c>
    </row>
    <row r="625" spans="1:6" x14ac:dyDescent="0.3">
      <c r="B625" s="29" t="s">
        <v>774</v>
      </c>
      <c r="C625" t="s">
        <v>291</v>
      </c>
      <c r="D625" s="25" t="s">
        <v>485</v>
      </c>
    </row>
    <row r="626" spans="1:6" x14ac:dyDescent="0.3">
      <c r="B626" s="29">
        <v>44126</v>
      </c>
      <c r="C626" t="s">
        <v>93</v>
      </c>
      <c r="D626" s="25" t="s">
        <v>578</v>
      </c>
    </row>
    <row r="627" spans="1:6" x14ac:dyDescent="0.3">
      <c r="B627" s="29">
        <v>44133</v>
      </c>
      <c r="C627" t="s">
        <v>775</v>
      </c>
      <c r="D627" s="25" t="s">
        <v>776</v>
      </c>
    </row>
    <row r="628" spans="1:6" x14ac:dyDescent="0.3">
      <c r="B628" s="29">
        <v>44140</v>
      </c>
      <c r="C628" t="s">
        <v>1211</v>
      </c>
      <c r="D628" s="25" t="s">
        <v>485</v>
      </c>
    </row>
    <row r="629" spans="1:6" x14ac:dyDescent="0.3">
      <c r="B629" s="29">
        <v>44147</v>
      </c>
      <c r="C629" t="s">
        <v>777</v>
      </c>
      <c r="D629" s="25" t="s">
        <v>346</v>
      </c>
    </row>
    <row r="630" spans="1:6" x14ac:dyDescent="0.3">
      <c r="B630" s="29">
        <v>44159</v>
      </c>
      <c r="C630" t="s">
        <v>778</v>
      </c>
      <c r="D630" s="25" t="s">
        <v>779</v>
      </c>
    </row>
    <row r="631" spans="1:6" x14ac:dyDescent="0.3">
      <c r="A631" t="s">
        <v>780</v>
      </c>
      <c r="E631" s="33" t="s">
        <v>581</v>
      </c>
      <c r="F631" s="33" t="s">
        <v>657</v>
      </c>
    </row>
    <row r="632" spans="1:6" x14ac:dyDescent="0.3">
      <c r="B632" s="29">
        <v>44111</v>
      </c>
      <c r="C632" t="s">
        <v>781</v>
      </c>
      <c r="D632" s="25" t="s">
        <v>284</v>
      </c>
    </row>
    <row r="633" spans="1:6" x14ac:dyDescent="0.3">
      <c r="B633" s="29">
        <v>44119</v>
      </c>
      <c r="C633" t="s">
        <v>314</v>
      </c>
      <c r="D633" s="25" t="s">
        <v>673</v>
      </c>
    </row>
    <row r="634" spans="1:6" x14ac:dyDescent="0.3">
      <c r="B634" s="29">
        <v>44124</v>
      </c>
      <c r="C634" t="s">
        <v>103</v>
      </c>
      <c r="D634" s="25" t="s">
        <v>782</v>
      </c>
    </row>
    <row r="635" spans="1:6" x14ac:dyDescent="0.3">
      <c r="B635" s="29">
        <v>44130</v>
      </c>
      <c r="C635" t="s">
        <v>151</v>
      </c>
      <c r="D635" s="25" t="s">
        <v>783</v>
      </c>
    </row>
    <row r="636" spans="1:6" x14ac:dyDescent="0.3">
      <c r="B636" s="29" t="s">
        <v>784</v>
      </c>
      <c r="C636" t="s">
        <v>266</v>
      </c>
      <c r="D636" s="25" t="s">
        <v>371</v>
      </c>
    </row>
    <row r="637" spans="1:6" x14ac:dyDescent="0.3">
      <c r="B637" s="29">
        <v>44147</v>
      </c>
      <c r="C637" t="s">
        <v>112</v>
      </c>
      <c r="D637" s="25" t="s">
        <v>381</v>
      </c>
    </row>
    <row r="638" spans="1:6" x14ac:dyDescent="0.3">
      <c r="B638" s="29">
        <v>44154</v>
      </c>
      <c r="C638" t="s">
        <v>636</v>
      </c>
      <c r="D638" s="25" t="s">
        <v>381</v>
      </c>
    </row>
    <row r="639" spans="1:6" x14ac:dyDescent="0.3">
      <c r="B639" s="29">
        <v>44159</v>
      </c>
      <c r="C639" t="s">
        <v>785</v>
      </c>
      <c r="D639" s="25" t="s">
        <v>786</v>
      </c>
    </row>
    <row r="640" spans="1:6" x14ac:dyDescent="0.3">
      <c r="A640" t="s">
        <v>787</v>
      </c>
      <c r="E640" s="33" t="s">
        <v>788</v>
      </c>
      <c r="F640" s="33" t="s">
        <v>746</v>
      </c>
    </row>
    <row r="641" spans="1:6" x14ac:dyDescent="0.3">
      <c r="B641" s="29">
        <v>44098</v>
      </c>
      <c r="C641" t="s">
        <v>266</v>
      </c>
      <c r="D641" s="25" t="s">
        <v>748</v>
      </c>
    </row>
    <row r="642" spans="1:6" x14ac:dyDescent="0.3">
      <c r="B642" s="29">
        <v>44105</v>
      </c>
      <c r="C642" t="s">
        <v>314</v>
      </c>
      <c r="D642" s="25" t="s">
        <v>681</v>
      </c>
    </row>
    <row r="643" spans="1:6" x14ac:dyDescent="0.3">
      <c r="B643" s="29">
        <v>44114</v>
      </c>
      <c r="C643" t="s">
        <v>119</v>
      </c>
      <c r="D643" s="25" t="s">
        <v>317</v>
      </c>
    </row>
    <row r="644" spans="1:6" x14ac:dyDescent="0.3">
      <c r="B644" s="29">
        <v>44124</v>
      </c>
      <c r="C644" t="s">
        <v>524</v>
      </c>
      <c r="D644" s="25" t="s">
        <v>747</v>
      </c>
    </row>
    <row r="645" spans="1:6" x14ac:dyDescent="0.3">
      <c r="B645" s="29">
        <v>44125</v>
      </c>
      <c r="C645" t="s">
        <v>531</v>
      </c>
      <c r="D645" s="25" t="s">
        <v>381</v>
      </c>
    </row>
    <row r="646" spans="1:6" x14ac:dyDescent="0.3">
      <c r="B646" s="29" t="s">
        <v>326</v>
      </c>
      <c r="C646" t="s">
        <v>291</v>
      </c>
      <c r="D646" s="25" t="s">
        <v>417</v>
      </c>
    </row>
    <row r="647" spans="1:6" x14ac:dyDescent="0.3">
      <c r="B647" s="29">
        <v>44159</v>
      </c>
      <c r="C647" t="s">
        <v>749</v>
      </c>
      <c r="D647" s="25" t="s">
        <v>750</v>
      </c>
    </row>
    <row r="648" spans="1:6" x14ac:dyDescent="0.3">
      <c r="A648" t="s">
        <v>1219</v>
      </c>
      <c r="E648" s="33" t="s">
        <v>529</v>
      </c>
      <c r="F648" s="33" t="s">
        <v>789</v>
      </c>
    </row>
    <row r="649" spans="1:6" x14ac:dyDescent="0.3">
      <c r="B649" s="29">
        <v>44105</v>
      </c>
      <c r="C649" t="s">
        <v>86</v>
      </c>
      <c r="D649" s="25" t="s">
        <v>391</v>
      </c>
    </row>
    <row r="650" spans="1:6" x14ac:dyDescent="0.3">
      <c r="B650" s="29">
        <v>44112</v>
      </c>
      <c r="C650" t="s">
        <v>175</v>
      </c>
      <c r="D650" s="25" t="s">
        <v>423</v>
      </c>
    </row>
    <row r="651" spans="1:6" x14ac:dyDescent="0.3">
      <c r="B651" s="29">
        <v>44116</v>
      </c>
      <c r="C651" t="s">
        <v>769</v>
      </c>
      <c r="D651" s="25" t="s">
        <v>317</v>
      </c>
    </row>
    <row r="652" spans="1:6" x14ac:dyDescent="0.3">
      <c r="B652" s="29">
        <v>44126</v>
      </c>
      <c r="C652" t="s">
        <v>732</v>
      </c>
      <c r="D652" s="25" t="s">
        <v>393</v>
      </c>
    </row>
    <row r="653" spans="1:6" x14ac:dyDescent="0.3">
      <c r="B653" s="29">
        <v>44133</v>
      </c>
      <c r="C653" t="s">
        <v>65</v>
      </c>
      <c r="D653" s="25" t="s">
        <v>381</v>
      </c>
    </row>
    <row r="654" spans="1:6" x14ac:dyDescent="0.3">
      <c r="B654" s="29">
        <v>44140</v>
      </c>
      <c r="C654" t="s">
        <v>453</v>
      </c>
      <c r="D654" s="25" t="s">
        <v>346</v>
      </c>
    </row>
    <row r="655" spans="1:6" x14ac:dyDescent="0.3">
      <c r="B655" s="29" t="s">
        <v>290</v>
      </c>
      <c r="C655" t="s">
        <v>650</v>
      </c>
      <c r="D655" s="25" t="s">
        <v>417</v>
      </c>
    </row>
    <row r="656" spans="1:6" x14ac:dyDescent="0.3">
      <c r="B656" s="29">
        <v>44154</v>
      </c>
      <c r="C656" t="s">
        <v>481</v>
      </c>
      <c r="D656" s="25" t="s">
        <v>521</v>
      </c>
    </row>
    <row r="657" spans="1:6" x14ac:dyDescent="0.3">
      <c r="B657" s="29">
        <v>44159</v>
      </c>
      <c r="C657" t="s">
        <v>1208</v>
      </c>
      <c r="D657" s="25" t="s">
        <v>576</v>
      </c>
    </row>
    <row r="658" spans="1:6" x14ac:dyDescent="0.3">
      <c r="A658" t="s">
        <v>790</v>
      </c>
      <c r="E658" s="33" t="s">
        <v>794</v>
      </c>
      <c r="F658" s="33" t="s">
        <v>795</v>
      </c>
    </row>
    <row r="659" spans="1:6" x14ac:dyDescent="0.3">
      <c r="B659" s="29">
        <v>44105</v>
      </c>
      <c r="C659" t="s">
        <v>103</v>
      </c>
      <c r="D659" s="25" t="s">
        <v>452</v>
      </c>
    </row>
    <row r="660" spans="1:6" x14ac:dyDescent="0.3">
      <c r="B660" s="29">
        <v>44112</v>
      </c>
      <c r="C660" t="s">
        <v>448</v>
      </c>
      <c r="D660" s="25" t="s">
        <v>371</v>
      </c>
    </row>
    <row r="661" spans="1:6" x14ac:dyDescent="0.3">
      <c r="B661" s="29">
        <v>44116</v>
      </c>
      <c r="C661" t="s">
        <v>119</v>
      </c>
      <c r="D661" s="25" t="s">
        <v>683</v>
      </c>
    </row>
    <row r="662" spans="1:6" x14ac:dyDescent="0.3">
      <c r="B662" s="29">
        <v>44119</v>
      </c>
      <c r="C662" t="s">
        <v>147</v>
      </c>
      <c r="D662" s="25" t="s">
        <v>575</v>
      </c>
    </row>
    <row r="663" spans="1:6" x14ac:dyDescent="0.3">
      <c r="B663" s="29">
        <v>44126</v>
      </c>
      <c r="C663" t="s">
        <v>791</v>
      </c>
      <c r="D663" s="25" t="s">
        <v>656</v>
      </c>
    </row>
    <row r="664" spans="1:6" x14ac:dyDescent="0.3">
      <c r="B664" s="29">
        <v>44133</v>
      </c>
      <c r="C664" t="s">
        <v>1210</v>
      </c>
      <c r="D664" s="25" t="s">
        <v>357</v>
      </c>
    </row>
    <row r="665" spans="1:6" x14ac:dyDescent="0.3">
      <c r="B665" s="29">
        <v>44140</v>
      </c>
      <c r="C665" t="s">
        <v>661</v>
      </c>
      <c r="D665" s="25" t="s">
        <v>418</v>
      </c>
    </row>
    <row r="666" spans="1:6" x14ac:dyDescent="0.3">
      <c r="B666" s="29" t="s">
        <v>792</v>
      </c>
      <c r="C666" t="s">
        <v>291</v>
      </c>
      <c r="D666" s="25" t="s">
        <v>412</v>
      </c>
    </row>
    <row r="667" spans="1:6" x14ac:dyDescent="0.3">
      <c r="B667" s="29">
        <v>44159</v>
      </c>
      <c r="C667" t="s">
        <v>453</v>
      </c>
      <c r="D667" s="25" t="s">
        <v>793</v>
      </c>
    </row>
    <row r="668" spans="1:6" x14ac:dyDescent="0.3">
      <c r="A668" t="s">
        <v>796</v>
      </c>
      <c r="E668" s="33" t="s">
        <v>366</v>
      </c>
      <c r="F668" s="33" t="s">
        <v>808</v>
      </c>
    </row>
    <row r="669" spans="1:6" x14ac:dyDescent="0.3">
      <c r="B669" s="29">
        <v>44105</v>
      </c>
      <c r="C669" t="s">
        <v>797</v>
      </c>
      <c r="D669" s="25" t="s">
        <v>551</v>
      </c>
      <c r="F669" s="33" t="s">
        <v>807</v>
      </c>
    </row>
    <row r="670" spans="1:6" x14ac:dyDescent="0.3">
      <c r="B670" s="29">
        <v>44112</v>
      </c>
      <c r="C670" t="s">
        <v>798</v>
      </c>
      <c r="D670" s="25" t="s">
        <v>655</v>
      </c>
    </row>
    <row r="671" spans="1:6" x14ac:dyDescent="0.3">
      <c r="B671" s="29">
        <v>44119</v>
      </c>
      <c r="C671" t="s">
        <v>799</v>
      </c>
      <c r="D671" s="25" t="s">
        <v>800</v>
      </c>
    </row>
    <row r="672" spans="1:6" x14ac:dyDescent="0.3">
      <c r="B672" s="29">
        <v>44121</v>
      </c>
      <c r="C672" t="s">
        <v>801</v>
      </c>
      <c r="D672" s="25" t="s">
        <v>802</v>
      </c>
    </row>
    <row r="673" spans="1:6" x14ac:dyDescent="0.3">
      <c r="B673" s="29">
        <v>44126</v>
      </c>
      <c r="C673" t="s">
        <v>51</v>
      </c>
      <c r="D673" s="25" t="s">
        <v>783</v>
      </c>
    </row>
    <row r="674" spans="1:6" x14ac:dyDescent="0.3">
      <c r="B674" s="29">
        <v>44133</v>
      </c>
      <c r="C674" t="s">
        <v>523</v>
      </c>
      <c r="D674" s="25" t="s">
        <v>428</v>
      </c>
    </row>
    <row r="675" spans="1:6" x14ac:dyDescent="0.3">
      <c r="B675" s="29">
        <v>44140</v>
      </c>
      <c r="C675" t="s">
        <v>133</v>
      </c>
      <c r="D675" s="25" t="s">
        <v>480</v>
      </c>
    </row>
    <row r="676" spans="1:6" x14ac:dyDescent="0.3">
      <c r="B676" s="29">
        <v>44147</v>
      </c>
      <c r="C676" t="s">
        <v>151</v>
      </c>
      <c r="D676" s="25" t="s">
        <v>803</v>
      </c>
    </row>
    <row r="677" spans="1:6" x14ac:dyDescent="0.3">
      <c r="B677" s="29">
        <v>44151</v>
      </c>
      <c r="C677" t="s">
        <v>804</v>
      </c>
      <c r="D677" s="25" t="s">
        <v>805</v>
      </c>
    </row>
    <row r="678" spans="1:6" x14ac:dyDescent="0.3">
      <c r="B678" s="29" t="s">
        <v>462</v>
      </c>
      <c r="C678" t="s">
        <v>291</v>
      </c>
      <c r="D678" s="25" t="s">
        <v>417</v>
      </c>
    </row>
    <row r="679" spans="1:6" x14ac:dyDescent="0.3">
      <c r="B679" s="29">
        <v>44159</v>
      </c>
      <c r="C679" t="s">
        <v>806</v>
      </c>
      <c r="D679" s="25" t="s">
        <v>391</v>
      </c>
    </row>
    <row r="680" spans="1:6" x14ac:dyDescent="0.3">
      <c r="A680" t="s">
        <v>809</v>
      </c>
      <c r="E680" s="33" t="s">
        <v>645</v>
      </c>
      <c r="F680" s="33" t="s">
        <v>564</v>
      </c>
    </row>
    <row r="681" spans="1:6" x14ac:dyDescent="0.3">
      <c r="B681" s="29">
        <v>44112</v>
      </c>
      <c r="C681" t="s">
        <v>810</v>
      </c>
      <c r="D681" s="25" t="s">
        <v>391</v>
      </c>
    </row>
    <row r="682" spans="1:6" x14ac:dyDescent="0.3">
      <c r="B682" s="29">
        <v>44119</v>
      </c>
      <c r="C682" t="s">
        <v>451</v>
      </c>
      <c r="D682" s="25" t="s">
        <v>346</v>
      </c>
    </row>
    <row r="683" spans="1:6" x14ac:dyDescent="0.3">
      <c r="B683" s="29">
        <v>44126</v>
      </c>
      <c r="C683" t="s">
        <v>151</v>
      </c>
      <c r="D683" s="25" t="s">
        <v>410</v>
      </c>
    </row>
    <row r="684" spans="1:6" x14ac:dyDescent="0.3">
      <c r="B684" s="29">
        <v>44131</v>
      </c>
      <c r="C684" t="s">
        <v>811</v>
      </c>
      <c r="D684" s="25" t="s">
        <v>812</v>
      </c>
    </row>
    <row r="685" spans="1:6" x14ac:dyDescent="0.3">
      <c r="B685" s="29">
        <v>44140</v>
      </c>
      <c r="C685" t="s">
        <v>579</v>
      </c>
      <c r="D685" s="25" t="s">
        <v>480</v>
      </c>
    </row>
    <row r="686" spans="1:6" x14ac:dyDescent="0.3">
      <c r="B686" s="29">
        <v>44147</v>
      </c>
      <c r="C686" t="s">
        <v>292</v>
      </c>
      <c r="D686" s="25" t="s">
        <v>357</v>
      </c>
    </row>
    <row r="687" spans="1:6" x14ac:dyDescent="0.3">
      <c r="B687" s="29" t="s">
        <v>473</v>
      </c>
      <c r="C687" t="s">
        <v>266</v>
      </c>
      <c r="D687" s="25" t="s">
        <v>471</v>
      </c>
    </row>
    <row r="689" spans="1:6" x14ac:dyDescent="0.3">
      <c r="A689" s="76">
        <v>1905</v>
      </c>
      <c r="B689" s="76"/>
      <c r="C689" s="76"/>
      <c r="D689" s="76"/>
    </row>
    <row r="690" spans="1:6" x14ac:dyDescent="0.3">
      <c r="A690" t="s">
        <v>813</v>
      </c>
      <c r="E690" s="33" t="s">
        <v>253</v>
      </c>
      <c r="F690" s="33" t="s">
        <v>815</v>
      </c>
    </row>
    <row r="691" spans="1:6" x14ac:dyDescent="0.3">
      <c r="B691" s="29" t="s">
        <v>814</v>
      </c>
      <c r="C691" t="s">
        <v>266</v>
      </c>
      <c r="D691" s="25" t="s">
        <v>417</v>
      </c>
    </row>
    <row r="692" spans="1:6" x14ac:dyDescent="0.3">
      <c r="B692" s="29">
        <v>44107</v>
      </c>
      <c r="C692" t="s">
        <v>286</v>
      </c>
      <c r="D692" s="25" t="s">
        <v>351</v>
      </c>
    </row>
    <row r="693" spans="1:6" x14ac:dyDescent="0.3">
      <c r="B693" s="29">
        <v>44111</v>
      </c>
      <c r="C693" t="s">
        <v>189</v>
      </c>
      <c r="D693" s="25" t="s">
        <v>672</v>
      </c>
    </row>
    <row r="694" spans="1:6" x14ac:dyDescent="0.3">
      <c r="B694" s="29">
        <v>44115</v>
      </c>
      <c r="C694" t="s">
        <v>732</v>
      </c>
      <c r="D694" s="25" t="s">
        <v>371</v>
      </c>
    </row>
    <row r="695" spans="1:6" x14ac:dyDescent="0.3">
      <c r="B695" s="29">
        <v>44122</v>
      </c>
      <c r="C695" t="s">
        <v>816</v>
      </c>
      <c r="D695" s="25" t="s">
        <v>817</v>
      </c>
    </row>
    <row r="696" spans="1:6" x14ac:dyDescent="0.3">
      <c r="B696" s="29">
        <v>44122</v>
      </c>
      <c r="C696" t="s">
        <v>732</v>
      </c>
      <c r="D696" s="25" t="s">
        <v>424</v>
      </c>
    </row>
    <row r="697" spans="1:6" x14ac:dyDescent="0.3">
      <c r="B697" s="29">
        <v>44125</v>
      </c>
      <c r="C697" t="s">
        <v>818</v>
      </c>
      <c r="D697" s="25" t="s">
        <v>378</v>
      </c>
    </row>
    <row r="698" spans="1:6" x14ac:dyDescent="0.3">
      <c r="B698" s="29">
        <v>44132</v>
      </c>
      <c r="C698" t="s">
        <v>819</v>
      </c>
      <c r="D698" s="25" t="s">
        <v>485</v>
      </c>
    </row>
    <row r="699" spans="1:6" x14ac:dyDescent="0.3">
      <c r="B699" s="29">
        <v>44136</v>
      </c>
      <c r="C699" t="s">
        <v>175</v>
      </c>
      <c r="D699" s="25" t="s">
        <v>418</v>
      </c>
    </row>
    <row r="700" spans="1:6" x14ac:dyDescent="0.3">
      <c r="B700" s="29">
        <v>44143</v>
      </c>
      <c r="C700" t="s">
        <v>732</v>
      </c>
      <c r="D700" s="25" t="s">
        <v>820</v>
      </c>
    </row>
    <row r="701" spans="1:6" x14ac:dyDescent="0.3">
      <c r="B701" s="29">
        <v>44146</v>
      </c>
      <c r="C701" t="s">
        <v>189</v>
      </c>
      <c r="D701" s="25" t="s">
        <v>821</v>
      </c>
    </row>
    <row r="702" spans="1:6" x14ac:dyDescent="0.3">
      <c r="A702" t="s">
        <v>1337</v>
      </c>
      <c r="E702" s="33" t="s">
        <v>253</v>
      </c>
      <c r="F702" s="33" t="s">
        <v>825</v>
      </c>
    </row>
    <row r="703" spans="1:6" x14ac:dyDescent="0.3">
      <c r="B703" s="29" t="s">
        <v>822</v>
      </c>
      <c r="C703" t="s">
        <v>291</v>
      </c>
      <c r="D703" s="25" t="s">
        <v>346</v>
      </c>
    </row>
    <row r="704" spans="1:6" x14ac:dyDescent="0.3">
      <c r="B704" s="29">
        <v>44111</v>
      </c>
      <c r="C704" t="s">
        <v>481</v>
      </c>
      <c r="D704" s="25" t="s">
        <v>681</v>
      </c>
    </row>
    <row r="705" spans="1:6" x14ac:dyDescent="0.3">
      <c r="B705" s="29">
        <v>44120</v>
      </c>
      <c r="C705" t="s">
        <v>189</v>
      </c>
      <c r="D705" s="25" t="s">
        <v>371</v>
      </c>
    </row>
    <row r="706" spans="1:6" x14ac:dyDescent="0.3">
      <c r="B706" s="29">
        <v>44132</v>
      </c>
      <c r="C706" t="s">
        <v>732</v>
      </c>
      <c r="D706" s="25" t="s">
        <v>554</v>
      </c>
    </row>
    <row r="707" spans="1:6" x14ac:dyDescent="0.3">
      <c r="B707" s="29">
        <v>44146</v>
      </c>
      <c r="C707" t="s">
        <v>112</v>
      </c>
      <c r="D707" s="25" t="s">
        <v>300</v>
      </c>
    </row>
    <row r="708" spans="1:6" x14ac:dyDescent="0.3">
      <c r="B708" s="29">
        <v>44153</v>
      </c>
      <c r="C708" t="s">
        <v>823</v>
      </c>
      <c r="D708" s="25" t="s">
        <v>472</v>
      </c>
    </row>
    <row r="709" spans="1:6" x14ac:dyDescent="0.3">
      <c r="B709" s="29">
        <v>44165</v>
      </c>
      <c r="C709" t="s">
        <v>1211</v>
      </c>
      <c r="D709" s="25" t="s">
        <v>351</v>
      </c>
    </row>
    <row r="710" spans="1:6" x14ac:dyDescent="0.3">
      <c r="B710" s="29" t="s">
        <v>276</v>
      </c>
      <c r="C710" t="s">
        <v>754</v>
      </c>
      <c r="D710" s="25" t="s">
        <v>824</v>
      </c>
    </row>
    <row r="711" spans="1:6" x14ac:dyDescent="0.3">
      <c r="A711" t="s">
        <v>826</v>
      </c>
      <c r="E711" s="33" t="s">
        <v>563</v>
      </c>
      <c r="F711" s="33" t="s">
        <v>832</v>
      </c>
    </row>
    <row r="712" spans="1:6" x14ac:dyDescent="0.3">
      <c r="B712" s="29">
        <v>44101</v>
      </c>
      <c r="C712" t="s">
        <v>189</v>
      </c>
      <c r="D712" s="25" t="s">
        <v>805</v>
      </c>
    </row>
    <row r="713" spans="1:6" x14ac:dyDescent="0.3">
      <c r="B713" s="29">
        <v>44104</v>
      </c>
      <c r="C713" t="s">
        <v>754</v>
      </c>
      <c r="D713" s="25" t="s">
        <v>827</v>
      </c>
    </row>
    <row r="714" spans="1:6" x14ac:dyDescent="0.3">
      <c r="B714" s="29">
        <v>44111</v>
      </c>
      <c r="C714" t="s">
        <v>291</v>
      </c>
      <c r="D714" s="25" t="s">
        <v>410</v>
      </c>
    </row>
    <row r="715" spans="1:6" x14ac:dyDescent="0.3">
      <c r="B715" s="29">
        <v>44118</v>
      </c>
      <c r="C715" t="s">
        <v>828</v>
      </c>
      <c r="D715" s="25" t="s">
        <v>428</v>
      </c>
    </row>
    <row r="716" spans="1:6" x14ac:dyDescent="0.3">
      <c r="B716" s="29">
        <v>44125</v>
      </c>
      <c r="C716" t="s">
        <v>829</v>
      </c>
      <c r="D716" s="25" t="s">
        <v>830</v>
      </c>
    </row>
    <row r="717" spans="1:6" x14ac:dyDescent="0.3">
      <c r="B717" s="29">
        <v>44131</v>
      </c>
      <c r="C717" t="s">
        <v>112</v>
      </c>
      <c r="D717" s="25" t="s">
        <v>446</v>
      </c>
    </row>
    <row r="718" spans="1:6" x14ac:dyDescent="0.3">
      <c r="B718" s="29">
        <v>44139</v>
      </c>
      <c r="C718" t="s">
        <v>900</v>
      </c>
      <c r="D718" s="25" t="s">
        <v>521</v>
      </c>
    </row>
    <row r="719" spans="1:6" x14ac:dyDescent="0.3">
      <c r="B719" s="29">
        <v>44146</v>
      </c>
      <c r="C719" t="s">
        <v>831</v>
      </c>
      <c r="D719" s="25" t="s">
        <v>546</v>
      </c>
    </row>
    <row r="720" spans="1:6" x14ac:dyDescent="0.3">
      <c r="B720" s="29">
        <v>44153</v>
      </c>
      <c r="C720" t="s">
        <v>481</v>
      </c>
      <c r="D720" s="25" t="s">
        <v>363</v>
      </c>
    </row>
    <row r="721" spans="1:6" x14ac:dyDescent="0.3">
      <c r="B721" s="29">
        <v>44165</v>
      </c>
      <c r="C721" t="s">
        <v>694</v>
      </c>
      <c r="D721" s="25" t="s">
        <v>472</v>
      </c>
    </row>
    <row r="722" spans="1:6" x14ac:dyDescent="0.3">
      <c r="A722" t="s">
        <v>833</v>
      </c>
      <c r="E722" s="33" t="s">
        <v>563</v>
      </c>
      <c r="F722" s="33" t="s">
        <v>838</v>
      </c>
    </row>
    <row r="723" spans="1:6" x14ac:dyDescent="0.3">
      <c r="B723" s="29">
        <v>44117</v>
      </c>
      <c r="C723" t="s">
        <v>781</v>
      </c>
      <c r="D723" s="25" t="s">
        <v>427</v>
      </c>
    </row>
    <row r="724" spans="1:6" x14ac:dyDescent="0.3">
      <c r="B724" s="29">
        <v>44124</v>
      </c>
      <c r="C724" t="s">
        <v>674</v>
      </c>
      <c r="D724" s="25" t="s">
        <v>834</v>
      </c>
    </row>
    <row r="725" spans="1:6" x14ac:dyDescent="0.3">
      <c r="B725" s="29" t="s">
        <v>399</v>
      </c>
      <c r="C725" t="s">
        <v>291</v>
      </c>
      <c r="D725" s="25" t="s">
        <v>681</v>
      </c>
    </row>
    <row r="726" spans="1:6" x14ac:dyDescent="0.3">
      <c r="B726" s="29">
        <v>44139</v>
      </c>
      <c r="C726" t="s">
        <v>448</v>
      </c>
      <c r="D726" s="25" t="s">
        <v>411</v>
      </c>
    </row>
    <row r="727" spans="1:6" x14ac:dyDescent="0.3">
      <c r="B727" s="29">
        <v>44146</v>
      </c>
      <c r="C727" t="s">
        <v>426</v>
      </c>
      <c r="D727" s="25" t="s">
        <v>637</v>
      </c>
    </row>
    <row r="728" spans="1:6" x14ac:dyDescent="0.3">
      <c r="B728" s="29">
        <v>44153</v>
      </c>
      <c r="C728" t="s">
        <v>835</v>
      </c>
      <c r="D728" s="25" t="s">
        <v>351</v>
      </c>
    </row>
    <row r="729" spans="1:6" x14ac:dyDescent="0.3">
      <c r="B729" s="29">
        <v>44165</v>
      </c>
      <c r="C729" t="s">
        <v>836</v>
      </c>
      <c r="D729" s="25" t="s">
        <v>837</v>
      </c>
    </row>
    <row r="730" spans="1:6" x14ac:dyDescent="0.3">
      <c r="A730" t="s">
        <v>839</v>
      </c>
      <c r="E730" s="33" t="s">
        <v>590</v>
      </c>
      <c r="F730" s="33" t="s">
        <v>657</v>
      </c>
    </row>
    <row r="731" spans="1:6" x14ac:dyDescent="0.3">
      <c r="B731" s="29">
        <v>44111</v>
      </c>
      <c r="C731" t="s">
        <v>448</v>
      </c>
      <c r="D731" s="25" t="s">
        <v>357</v>
      </c>
    </row>
    <row r="732" spans="1:6" x14ac:dyDescent="0.3">
      <c r="B732" s="29">
        <v>44118</v>
      </c>
      <c r="C732" t="s">
        <v>773</v>
      </c>
      <c r="D732" s="25" t="s">
        <v>472</v>
      </c>
    </row>
    <row r="733" spans="1:6" x14ac:dyDescent="0.3">
      <c r="B733" s="29">
        <v>44125</v>
      </c>
      <c r="C733" t="s">
        <v>481</v>
      </c>
      <c r="D733" s="25" t="s">
        <v>840</v>
      </c>
    </row>
    <row r="734" spans="1:6" x14ac:dyDescent="0.3">
      <c r="B734" s="29">
        <v>44132</v>
      </c>
      <c r="C734" t="s">
        <v>1211</v>
      </c>
      <c r="D734" s="25" t="s">
        <v>841</v>
      </c>
    </row>
    <row r="735" spans="1:6" x14ac:dyDescent="0.3">
      <c r="B735" s="29">
        <v>44139</v>
      </c>
      <c r="C735" t="s">
        <v>842</v>
      </c>
      <c r="D735" s="25" t="s">
        <v>365</v>
      </c>
    </row>
    <row r="736" spans="1:6" x14ac:dyDescent="0.3">
      <c r="B736" s="29" t="s">
        <v>719</v>
      </c>
      <c r="C736" t="s">
        <v>266</v>
      </c>
      <c r="D736" s="25" t="s">
        <v>371</v>
      </c>
    </row>
    <row r="737" spans="1:6" x14ac:dyDescent="0.3">
      <c r="B737" s="29">
        <v>44153</v>
      </c>
      <c r="C737" t="s">
        <v>1338</v>
      </c>
      <c r="D737" s="25" t="s">
        <v>578</v>
      </c>
    </row>
    <row r="738" spans="1:6" x14ac:dyDescent="0.3">
      <c r="B738" s="29">
        <v>44165</v>
      </c>
      <c r="C738" t="s">
        <v>547</v>
      </c>
      <c r="D738" s="25" t="s">
        <v>578</v>
      </c>
    </row>
    <row r="739" spans="1:6" x14ac:dyDescent="0.3">
      <c r="A739" t="s">
        <v>843</v>
      </c>
      <c r="E739" s="33" t="s">
        <v>632</v>
      </c>
      <c r="F739" s="33" t="s">
        <v>620</v>
      </c>
    </row>
    <row r="740" spans="1:6" x14ac:dyDescent="0.3">
      <c r="B740" s="29">
        <v>44103</v>
      </c>
      <c r="C740" s="34" t="s">
        <v>741</v>
      </c>
      <c r="D740" s="25" t="s">
        <v>333</v>
      </c>
    </row>
    <row r="741" spans="1:6" x14ac:dyDescent="0.3">
      <c r="B741" s="29">
        <v>44107</v>
      </c>
      <c r="C741" t="s">
        <v>86</v>
      </c>
      <c r="D741" s="25" t="s">
        <v>367</v>
      </c>
    </row>
    <row r="742" spans="1:6" x14ac:dyDescent="0.3">
      <c r="B742" s="29">
        <v>44111</v>
      </c>
      <c r="C742" t="s">
        <v>844</v>
      </c>
      <c r="D742" s="25" t="s">
        <v>578</v>
      </c>
    </row>
    <row r="743" spans="1:6" x14ac:dyDescent="0.3">
      <c r="B743" s="29">
        <v>44116</v>
      </c>
      <c r="C743" t="s">
        <v>394</v>
      </c>
      <c r="D743" s="25" t="s">
        <v>578</v>
      </c>
    </row>
    <row r="744" spans="1:6" x14ac:dyDescent="0.3">
      <c r="B744" s="29">
        <v>44136</v>
      </c>
      <c r="C744" t="s">
        <v>288</v>
      </c>
      <c r="D744" s="25" t="s">
        <v>287</v>
      </c>
    </row>
    <row r="745" spans="1:6" x14ac:dyDescent="0.3">
      <c r="B745" s="29">
        <v>44145</v>
      </c>
      <c r="C745" t="s">
        <v>743</v>
      </c>
      <c r="D745" s="25" t="s">
        <v>287</v>
      </c>
    </row>
    <row r="746" spans="1:6" x14ac:dyDescent="0.3">
      <c r="B746" s="29">
        <v>44146</v>
      </c>
      <c r="C746" t="s">
        <v>1210</v>
      </c>
      <c r="D746" s="25" t="s">
        <v>648</v>
      </c>
    </row>
    <row r="747" spans="1:6" x14ac:dyDescent="0.3">
      <c r="B747" s="29" t="s">
        <v>525</v>
      </c>
      <c r="C747" t="s">
        <v>266</v>
      </c>
      <c r="D747" s="25" t="s">
        <v>363</v>
      </c>
    </row>
    <row r="748" spans="1:6" x14ac:dyDescent="0.3">
      <c r="B748" s="29">
        <v>44165</v>
      </c>
      <c r="C748" t="s">
        <v>831</v>
      </c>
      <c r="D748" s="25" t="s">
        <v>578</v>
      </c>
    </row>
    <row r="749" spans="1:6" x14ac:dyDescent="0.3">
      <c r="A749" t="s">
        <v>845</v>
      </c>
      <c r="E749" s="33" t="s">
        <v>595</v>
      </c>
      <c r="F749" s="33" t="s">
        <v>669</v>
      </c>
    </row>
    <row r="750" spans="1:6" x14ac:dyDescent="0.3">
      <c r="B750" s="29">
        <v>44111</v>
      </c>
      <c r="C750" t="s">
        <v>513</v>
      </c>
      <c r="D750" s="25" t="s">
        <v>381</v>
      </c>
    </row>
    <row r="751" spans="1:6" x14ac:dyDescent="0.3">
      <c r="B751" s="29">
        <v>44114</v>
      </c>
      <c r="C751" t="s">
        <v>99</v>
      </c>
      <c r="D751" s="25" t="s">
        <v>417</v>
      </c>
    </row>
    <row r="752" spans="1:6" x14ac:dyDescent="0.3">
      <c r="B752" s="29">
        <v>44121</v>
      </c>
      <c r="C752" t="s">
        <v>55</v>
      </c>
      <c r="D752" s="25" t="s">
        <v>556</v>
      </c>
    </row>
    <row r="753" spans="1:6" x14ac:dyDescent="0.3">
      <c r="B753" s="29">
        <v>44124</v>
      </c>
      <c r="C753" t="s">
        <v>426</v>
      </c>
      <c r="D753" s="25" t="s">
        <v>417</v>
      </c>
    </row>
    <row r="754" spans="1:6" x14ac:dyDescent="0.3">
      <c r="B754" s="29">
        <v>44124</v>
      </c>
      <c r="C754" t="s">
        <v>846</v>
      </c>
      <c r="D754" s="25" t="s">
        <v>357</v>
      </c>
    </row>
    <row r="755" spans="1:6" x14ac:dyDescent="0.3">
      <c r="B755" s="29">
        <v>44131</v>
      </c>
      <c r="C755" t="s">
        <v>383</v>
      </c>
      <c r="D755" s="25" t="s">
        <v>521</v>
      </c>
    </row>
    <row r="756" spans="1:6" x14ac:dyDescent="0.3">
      <c r="B756" s="29">
        <v>44139</v>
      </c>
      <c r="C756" t="s">
        <v>516</v>
      </c>
      <c r="D756" s="25" t="s">
        <v>396</v>
      </c>
    </row>
    <row r="757" spans="1:6" x14ac:dyDescent="0.3">
      <c r="B757" s="29">
        <v>44146</v>
      </c>
      <c r="C757" t="s">
        <v>1331</v>
      </c>
      <c r="D757" s="25" t="s">
        <v>436</v>
      </c>
    </row>
    <row r="758" spans="1:6" x14ac:dyDescent="0.3">
      <c r="B758" s="29" t="s">
        <v>321</v>
      </c>
      <c r="C758" t="s">
        <v>847</v>
      </c>
      <c r="D758" s="25" t="s">
        <v>378</v>
      </c>
    </row>
    <row r="760" spans="1:6" x14ac:dyDescent="0.3">
      <c r="A760" s="76">
        <v>1906</v>
      </c>
      <c r="B760" s="76"/>
      <c r="C760" s="76"/>
      <c r="D760" s="76"/>
    </row>
    <row r="761" spans="1:6" x14ac:dyDescent="0.3">
      <c r="A761" t="s">
        <v>848</v>
      </c>
      <c r="E761" s="33" t="s">
        <v>253</v>
      </c>
      <c r="F761" s="33" t="s">
        <v>756</v>
      </c>
    </row>
    <row r="762" spans="1:6" x14ac:dyDescent="0.3">
      <c r="B762" s="29" t="s">
        <v>751</v>
      </c>
      <c r="C762" t="s">
        <v>266</v>
      </c>
      <c r="D762" s="25" t="s">
        <v>849</v>
      </c>
    </row>
    <row r="763" spans="1:6" x14ac:dyDescent="0.3">
      <c r="B763" s="29">
        <v>44110</v>
      </c>
      <c r="C763" t="s">
        <v>288</v>
      </c>
      <c r="D763" s="25" t="s">
        <v>357</v>
      </c>
    </row>
    <row r="764" spans="1:6" x14ac:dyDescent="0.3">
      <c r="B764" s="29">
        <v>44114</v>
      </c>
      <c r="C764" t="s">
        <v>383</v>
      </c>
      <c r="D764" s="25" t="s">
        <v>840</v>
      </c>
    </row>
    <row r="765" spans="1:6" x14ac:dyDescent="0.3">
      <c r="B765" s="29">
        <v>44124</v>
      </c>
      <c r="C765" t="s">
        <v>286</v>
      </c>
      <c r="D765" s="25" t="s">
        <v>275</v>
      </c>
    </row>
    <row r="766" spans="1:6" x14ac:dyDescent="0.3">
      <c r="B766" s="29">
        <v>44134</v>
      </c>
      <c r="C766" t="s">
        <v>911</v>
      </c>
      <c r="D766" s="25" t="s">
        <v>912</v>
      </c>
    </row>
    <row r="767" spans="1:6" x14ac:dyDescent="0.3">
      <c r="B767" s="29">
        <v>44138</v>
      </c>
      <c r="C767" t="s">
        <v>831</v>
      </c>
      <c r="D767" s="25" t="s">
        <v>363</v>
      </c>
    </row>
    <row r="768" spans="1:6" x14ac:dyDescent="0.3">
      <c r="B768" s="29">
        <v>44144</v>
      </c>
      <c r="C768" t="s">
        <v>394</v>
      </c>
      <c r="D768" s="25" t="s">
        <v>578</v>
      </c>
    </row>
    <row r="769" spans="1:6" x14ac:dyDescent="0.3">
      <c r="B769" s="29">
        <v>44152</v>
      </c>
      <c r="C769" t="s">
        <v>850</v>
      </c>
      <c r="D769" s="25" t="s">
        <v>411</v>
      </c>
    </row>
    <row r="770" spans="1:6" x14ac:dyDescent="0.3">
      <c r="B770" s="29">
        <v>44159</v>
      </c>
      <c r="C770" t="s">
        <v>288</v>
      </c>
      <c r="D770" s="25" t="s">
        <v>472</v>
      </c>
    </row>
    <row r="771" spans="1:6" x14ac:dyDescent="0.3">
      <c r="A771" t="s">
        <v>851</v>
      </c>
      <c r="E771" s="33" t="s">
        <v>563</v>
      </c>
      <c r="F771" s="33" t="s">
        <v>856</v>
      </c>
    </row>
    <row r="772" spans="1:6" x14ac:dyDescent="0.3">
      <c r="B772" s="29">
        <v>44103</v>
      </c>
      <c r="C772" t="s">
        <v>754</v>
      </c>
      <c r="D772" s="25" t="s">
        <v>446</v>
      </c>
    </row>
    <row r="773" spans="1:6" x14ac:dyDescent="0.3">
      <c r="B773" s="29">
        <v>44107</v>
      </c>
      <c r="C773" t="s">
        <v>86</v>
      </c>
      <c r="D773" s="25" t="s">
        <v>298</v>
      </c>
    </row>
    <row r="774" spans="1:6" x14ac:dyDescent="0.3">
      <c r="B774" s="29" t="s">
        <v>540</v>
      </c>
      <c r="C774" t="s">
        <v>291</v>
      </c>
      <c r="D774" s="25" t="s">
        <v>371</v>
      </c>
    </row>
    <row r="775" spans="1:6" x14ac:dyDescent="0.3">
      <c r="B775" s="29">
        <v>44114</v>
      </c>
      <c r="C775" t="s">
        <v>189</v>
      </c>
      <c r="D775" s="25" t="s">
        <v>541</v>
      </c>
    </row>
    <row r="776" spans="1:6" x14ac:dyDescent="0.3">
      <c r="B776" s="29">
        <v>44117</v>
      </c>
      <c r="C776" t="s">
        <v>844</v>
      </c>
      <c r="D776" s="25" t="s">
        <v>852</v>
      </c>
    </row>
    <row r="777" spans="1:6" x14ac:dyDescent="0.3">
      <c r="B777" s="29">
        <v>44124</v>
      </c>
      <c r="C777" t="s">
        <v>93</v>
      </c>
      <c r="D777" s="25" t="s">
        <v>853</v>
      </c>
    </row>
    <row r="778" spans="1:6" x14ac:dyDescent="0.3">
      <c r="B778" s="29">
        <v>44131</v>
      </c>
      <c r="C778" t="s">
        <v>86</v>
      </c>
      <c r="D778" s="25" t="s">
        <v>319</v>
      </c>
    </row>
    <row r="779" spans="1:6" x14ac:dyDescent="0.3">
      <c r="B779" s="29">
        <v>44138</v>
      </c>
      <c r="C779" t="s">
        <v>854</v>
      </c>
      <c r="D779" s="25" t="s">
        <v>569</v>
      </c>
    </row>
    <row r="780" spans="1:6" x14ac:dyDescent="0.3">
      <c r="B780" s="29">
        <v>44145</v>
      </c>
      <c r="C780" t="s">
        <v>347</v>
      </c>
      <c r="D780" s="25" t="s">
        <v>333</v>
      </c>
    </row>
    <row r="781" spans="1:6" x14ac:dyDescent="0.3">
      <c r="B781" s="29">
        <v>44152</v>
      </c>
      <c r="C781" t="s">
        <v>831</v>
      </c>
      <c r="D781" s="25" t="s">
        <v>371</v>
      </c>
    </row>
    <row r="782" spans="1:6" x14ac:dyDescent="0.3">
      <c r="B782" s="29">
        <v>44164</v>
      </c>
      <c r="C782" t="s">
        <v>775</v>
      </c>
      <c r="D782" s="25" t="s">
        <v>855</v>
      </c>
    </row>
    <row r="783" spans="1:6" x14ac:dyDescent="0.3">
      <c r="A783" t="s">
        <v>857</v>
      </c>
      <c r="E783" s="33" t="s">
        <v>256</v>
      </c>
      <c r="F783" s="33" t="s">
        <v>862</v>
      </c>
    </row>
    <row r="784" spans="1:6" x14ac:dyDescent="0.3">
      <c r="B784" s="29">
        <v>44103</v>
      </c>
      <c r="C784" t="s">
        <v>858</v>
      </c>
      <c r="D784" s="25" t="s">
        <v>428</v>
      </c>
    </row>
    <row r="785" spans="1:6" x14ac:dyDescent="0.3">
      <c r="B785" s="29">
        <v>44107</v>
      </c>
      <c r="C785" t="s">
        <v>383</v>
      </c>
      <c r="D785" s="25" t="s">
        <v>363</v>
      </c>
    </row>
    <row r="786" spans="1:6" x14ac:dyDescent="0.3">
      <c r="B786" s="29">
        <v>44110</v>
      </c>
      <c r="C786" t="s">
        <v>189</v>
      </c>
      <c r="D786" s="25" t="s">
        <v>381</v>
      </c>
    </row>
    <row r="787" spans="1:6" x14ac:dyDescent="0.3">
      <c r="B787" s="29" t="s">
        <v>434</v>
      </c>
      <c r="C787" t="s">
        <v>266</v>
      </c>
      <c r="D787" s="25" t="s">
        <v>371</v>
      </c>
    </row>
    <row r="788" spans="1:6" x14ac:dyDescent="0.3">
      <c r="B788" s="29">
        <v>44116</v>
      </c>
      <c r="C788" t="s">
        <v>314</v>
      </c>
      <c r="D788" s="25" t="s">
        <v>428</v>
      </c>
    </row>
    <row r="789" spans="1:6" x14ac:dyDescent="0.3">
      <c r="B789" s="29">
        <v>44121</v>
      </c>
      <c r="C789" t="s">
        <v>844</v>
      </c>
      <c r="D789" s="25" t="s">
        <v>859</v>
      </c>
    </row>
    <row r="790" spans="1:6" x14ac:dyDescent="0.3">
      <c r="B790" s="29">
        <v>44131</v>
      </c>
      <c r="C790" t="s">
        <v>383</v>
      </c>
      <c r="D790" s="25" t="s">
        <v>271</v>
      </c>
    </row>
    <row r="791" spans="1:6" x14ac:dyDescent="0.3">
      <c r="B791" s="29">
        <v>44138</v>
      </c>
      <c r="C791" t="s">
        <v>850</v>
      </c>
      <c r="D791" s="25" t="s">
        <v>423</v>
      </c>
    </row>
    <row r="792" spans="1:6" x14ac:dyDescent="0.3">
      <c r="B792" s="29">
        <v>44145</v>
      </c>
      <c r="C792" t="s">
        <v>394</v>
      </c>
      <c r="D792" s="25" t="s">
        <v>860</v>
      </c>
    </row>
    <row r="793" spans="1:6" x14ac:dyDescent="0.3">
      <c r="B793" s="29">
        <v>44152</v>
      </c>
      <c r="C793" t="s">
        <v>93</v>
      </c>
      <c r="D793" s="25" t="s">
        <v>411</v>
      </c>
    </row>
    <row r="794" spans="1:6" x14ac:dyDescent="0.3">
      <c r="B794" s="29">
        <v>44159</v>
      </c>
      <c r="C794" t="s">
        <v>189</v>
      </c>
      <c r="D794" s="25" t="s">
        <v>578</v>
      </c>
    </row>
    <row r="795" spans="1:6" x14ac:dyDescent="0.3">
      <c r="B795" s="29">
        <v>44163</v>
      </c>
      <c r="C795" t="s">
        <v>861</v>
      </c>
      <c r="D795" s="25" t="s">
        <v>357</v>
      </c>
    </row>
    <row r="796" spans="1:6" x14ac:dyDescent="0.3">
      <c r="A796" t="s">
        <v>1339</v>
      </c>
      <c r="E796" s="33" t="s">
        <v>324</v>
      </c>
      <c r="F796" s="33" t="s">
        <v>864</v>
      </c>
    </row>
    <row r="797" spans="1:6" x14ac:dyDescent="0.3">
      <c r="B797" s="29">
        <v>44110</v>
      </c>
      <c r="C797" t="s">
        <v>754</v>
      </c>
      <c r="D797" s="25" t="s">
        <v>863</v>
      </c>
    </row>
    <row r="798" spans="1:6" x14ac:dyDescent="0.3">
      <c r="B798" s="29" t="s">
        <v>639</v>
      </c>
      <c r="C798" t="s">
        <v>291</v>
      </c>
      <c r="D798" s="25" t="s">
        <v>472</v>
      </c>
    </row>
    <row r="799" spans="1:6" x14ac:dyDescent="0.3">
      <c r="B799" s="29">
        <v>44124</v>
      </c>
      <c r="C799" t="s">
        <v>383</v>
      </c>
      <c r="D799" s="25" t="s">
        <v>424</v>
      </c>
    </row>
    <row r="800" spans="1:6" x14ac:dyDescent="0.3">
      <c r="B800" s="29">
        <v>44131</v>
      </c>
      <c r="C800" s="29" t="s">
        <v>394</v>
      </c>
      <c r="D800" s="25" t="s">
        <v>494</v>
      </c>
    </row>
    <row r="801" spans="1:6" x14ac:dyDescent="0.3">
      <c r="B801" s="29">
        <v>44138</v>
      </c>
      <c r="C801" t="s">
        <v>128</v>
      </c>
      <c r="D801" s="25" t="s">
        <v>865</v>
      </c>
    </row>
    <row r="802" spans="1:6" x14ac:dyDescent="0.3">
      <c r="B802" s="29">
        <v>44144</v>
      </c>
      <c r="C802" t="s">
        <v>755</v>
      </c>
      <c r="D802" s="25" t="s">
        <v>410</v>
      </c>
    </row>
    <row r="803" spans="1:6" x14ac:dyDescent="0.3">
      <c r="B803" s="29">
        <v>44152</v>
      </c>
      <c r="C803" t="s">
        <v>288</v>
      </c>
      <c r="D803" s="25" t="s">
        <v>396</v>
      </c>
    </row>
    <row r="804" spans="1:6" x14ac:dyDescent="0.3">
      <c r="B804" s="29">
        <v>44164</v>
      </c>
      <c r="C804" t="s">
        <v>866</v>
      </c>
      <c r="D804" s="25" t="s">
        <v>381</v>
      </c>
    </row>
    <row r="805" spans="1:6" x14ac:dyDescent="0.3">
      <c r="A805" t="s">
        <v>867</v>
      </c>
      <c r="E805" s="33" t="s">
        <v>563</v>
      </c>
      <c r="F805" s="33" t="s">
        <v>707</v>
      </c>
    </row>
    <row r="806" spans="1:6" x14ac:dyDescent="0.3">
      <c r="B806" s="29">
        <v>44109</v>
      </c>
      <c r="C806" s="34" t="s">
        <v>755</v>
      </c>
      <c r="D806" s="25" t="s">
        <v>410</v>
      </c>
    </row>
    <row r="807" spans="1:6" x14ac:dyDescent="0.3">
      <c r="B807" s="29">
        <v>44112</v>
      </c>
      <c r="C807" s="34" t="s">
        <v>754</v>
      </c>
      <c r="D807" s="25" t="s">
        <v>427</v>
      </c>
    </row>
    <row r="808" spans="1:6" x14ac:dyDescent="0.3">
      <c r="B808" s="29">
        <v>44119</v>
      </c>
      <c r="C808" t="s">
        <v>291</v>
      </c>
      <c r="D808" s="25" t="s">
        <v>389</v>
      </c>
    </row>
    <row r="809" spans="1:6" x14ac:dyDescent="0.3">
      <c r="B809" s="29">
        <v>44124</v>
      </c>
      <c r="C809" t="s">
        <v>868</v>
      </c>
      <c r="D809" s="25" t="s">
        <v>869</v>
      </c>
    </row>
    <row r="810" spans="1:6" x14ac:dyDescent="0.3">
      <c r="B810" s="29">
        <v>44131</v>
      </c>
      <c r="C810" t="s">
        <v>347</v>
      </c>
      <c r="D810" s="25" t="s">
        <v>487</v>
      </c>
    </row>
    <row r="811" spans="1:6" x14ac:dyDescent="0.3">
      <c r="B811" s="29">
        <v>44140</v>
      </c>
      <c r="C811" t="s">
        <v>128</v>
      </c>
      <c r="D811" s="25" t="s">
        <v>391</v>
      </c>
    </row>
    <row r="812" spans="1:6" x14ac:dyDescent="0.3">
      <c r="A812" t="s">
        <v>872</v>
      </c>
      <c r="E812" s="33" t="s">
        <v>572</v>
      </c>
      <c r="F812" s="33" t="s">
        <v>876</v>
      </c>
    </row>
    <row r="813" spans="1:6" x14ac:dyDescent="0.3">
      <c r="B813" s="29">
        <v>44110</v>
      </c>
      <c r="C813" t="s">
        <v>1209</v>
      </c>
      <c r="D813" s="25" t="s">
        <v>428</v>
      </c>
    </row>
    <row r="814" spans="1:6" x14ac:dyDescent="0.3">
      <c r="B814" s="29">
        <v>44112</v>
      </c>
      <c r="C814" t="s">
        <v>1210</v>
      </c>
      <c r="D814" s="25" t="s">
        <v>355</v>
      </c>
    </row>
    <row r="815" spans="1:6" x14ac:dyDescent="0.3">
      <c r="B815" s="29">
        <v>44117</v>
      </c>
      <c r="C815" t="s">
        <v>873</v>
      </c>
      <c r="D815" s="25" t="s">
        <v>410</v>
      </c>
    </row>
    <row r="816" spans="1:6" x14ac:dyDescent="0.3">
      <c r="B816" s="29" t="s">
        <v>380</v>
      </c>
      <c r="C816" t="s">
        <v>266</v>
      </c>
      <c r="D816" s="25" t="s">
        <v>382</v>
      </c>
    </row>
    <row r="817" spans="1:7" x14ac:dyDescent="0.3">
      <c r="B817" s="29">
        <v>44131</v>
      </c>
      <c r="C817" t="s">
        <v>874</v>
      </c>
      <c r="D817" s="25" t="s">
        <v>410</v>
      </c>
    </row>
    <row r="818" spans="1:7" x14ac:dyDescent="0.3">
      <c r="B818" s="29">
        <v>44138</v>
      </c>
      <c r="C818" t="s">
        <v>86</v>
      </c>
      <c r="D818" s="25" t="s">
        <v>601</v>
      </c>
    </row>
    <row r="819" spans="1:7" x14ac:dyDescent="0.3">
      <c r="B819" s="29">
        <v>44152</v>
      </c>
      <c r="C819" t="s">
        <v>189</v>
      </c>
      <c r="D819" s="25" t="s">
        <v>396</v>
      </c>
    </row>
    <row r="820" spans="1:7" x14ac:dyDescent="0.3">
      <c r="B820" s="29">
        <v>44164</v>
      </c>
      <c r="C820" t="s">
        <v>875</v>
      </c>
      <c r="D820" s="25" t="s">
        <v>381</v>
      </c>
    </row>
    <row r="821" spans="1:7" x14ac:dyDescent="0.3">
      <c r="A821" t="s">
        <v>877</v>
      </c>
      <c r="E821" s="33" t="s">
        <v>879</v>
      </c>
      <c r="F821" s="33" t="s">
        <v>880</v>
      </c>
    </row>
    <row r="822" spans="1:7" x14ac:dyDescent="0.3">
      <c r="B822" s="29">
        <v>44110</v>
      </c>
      <c r="C822" s="34" t="s">
        <v>781</v>
      </c>
      <c r="D822" s="25" t="s">
        <v>417</v>
      </c>
      <c r="G822" t="s">
        <v>882</v>
      </c>
    </row>
    <row r="823" spans="1:7" x14ac:dyDescent="0.3">
      <c r="B823" s="29">
        <v>44117</v>
      </c>
      <c r="C823" s="34" t="s">
        <v>881</v>
      </c>
      <c r="D823" s="25" t="s">
        <v>417</v>
      </c>
      <c r="G823" t="s">
        <v>882</v>
      </c>
    </row>
    <row r="824" spans="1:7" x14ac:dyDescent="0.3">
      <c r="B824" s="29">
        <v>44117</v>
      </c>
      <c r="C824" t="s">
        <v>900</v>
      </c>
      <c r="D824" s="25" t="s">
        <v>371</v>
      </c>
    </row>
    <row r="825" spans="1:7" x14ac:dyDescent="0.3">
      <c r="B825" s="29">
        <v>44124</v>
      </c>
      <c r="C825" t="s">
        <v>151</v>
      </c>
      <c r="D825" s="25" t="s">
        <v>357</v>
      </c>
    </row>
    <row r="826" spans="1:7" x14ac:dyDescent="0.3">
      <c r="B826" s="29" t="s">
        <v>397</v>
      </c>
      <c r="C826" t="s">
        <v>878</v>
      </c>
      <c r="D826" s="25" t="s">
        <v>371</v>
      </c>
    </row>
    <row r="827" spans="1:7" x14ac:dyDescent="0.3">
      <c r="B827" s="29">
        <v>44138</v>
      </c>
      <c r="C827" t="s">
        <v>531</v>
      </c>
      <c r="D827" s="25" t="s">
        <v>371</v>
      </c>
    </row>
    <row r="828" spans="1:7" x14ac:dyDescent="0.3">
      <c r="B828" s="29">
        <v>44114</v>
      </c>
      <c r="C828" t="s">
        <v>451</v>
      </c>
      <c r="D828" s="25" t="s">
        <v>411</v>
      </c>
    </row>
    <row r="829" spans="1:7" x14ac:dyDescent="0.3">
      <c r="B829" s="29">
        <v>44154</v>
      </c>
      <c r="C829" t="s">
        <v>51</v>
      </c>
      <c r="D829" s="25" t="s">
        <v>287</v>
      </c>
    </row>
    <row r="830" spans="1:7" x14ac:dyDescent="0.3">
      <c r="B830" s="29">
        <v>44164</v>
      </c>
      <c r="C830" t="s">
        <v>579</v>
      </c>
      <c r="D830" s="25" t="s">
        <v>410</v>
      </c>
    </row>
    <row r="831" spans="1:7" x14ac:dyDescent="0.3">
      <c r="A831" t="s">
        <v>883</v>
      </c>
      <c r="E831" s="33" t="s">
        <v>255</v>
      </c>
      <c r="F831" s="33" t="s">
        <v>888</v>
      </c>
    </row>
    <row r="832" spans="1:7" x14ac:dyDescent="0.3">
      <c r="B832" s="29">
        <v>44117</v>
      </c>
      <c r="C832" t="s">
        <v>112</v>
      </c>
      <c r="D832" s="25" t="s">
        <v>648</v>
      </c>
    </row>
    <row r="833" spans="1:6" x14ac:dyDescent="0.3">
      <c r="B833" s="29">
        <v>44124</v>
      </c>
      <c r="C833" t="s">
        <v>577</v>
      </c>
      <c r="D833" s="25" t="s">
        <v>381</v>
      </c>
    </row>
    <row r="834" spans="1:6" x14ac:dyDescent="0.3">
      <c r="B834" s="29" t="s">
        <v>884</v>
      </c>
      <c r="C834" t="s">
        <v>291</v>
      </c>
      <c r="D834" s="25" t="s">
        <v>417</v>
      </c>
    </row>
    <row r="835" spans="1:6" x14ac:dyDescent="0.3">
      <c r="B835" s="29">
        <v>44138</v>
      </c>
      <c r="C835" t="s">
        <v>885</v>
      </c>
      <c r="D835" s="25" t="s">
        <v>546</v>
      </c>
    </row>
    <row r="836" spans="1:6" x14ac:dyDescent="0.3">
      <c r="B836" s="29">
        <v>44145</v>
      </c>
      <c r="C836" t="s">
        <v>579</v>
      </c>
      <c r="D836" s="25" t="s">
        <v>472</v>
      </c>
    </row>
    <row r="837" spans="1:6" x14ac:dyDescent="0.3">
      <c r="B837" s="29">
        <v>44156</v>
      </c>
      <c r="C837" t="s">
        <v>51</v>
      </c>
      <c r="D837" s="25" t="s">
        <v>371</v>
      </c>
    </row>
    <row r="838" spans="1:6" x14ac:dyDescent="0.3">
      <c r="B838" s="29">
        <v>44164</v>
      </c>
      <c r="C838" t="s">
        <v>886</v>
      </c>
      <c r="D838" s="25" t="s">
        <v>853</v>
      </c>
    </row>
    <row r="839" spans="1:6" x14ac:dyDescent="0.3">
      <c r="B839" s="29">
        <v>44167</v>
      </c>
      <c r="C839" t="s">
        <v>887</v>
      </c>
      <c r="D839" s="25" t="s">
        <v>428</v>
      </c>
    </row>
    <row r="840" spans="1:6" x14ac:dyDescent="0.3">
      <c r="A840" t="s">
        <v>894</v>
      </c>
      <c r="E840" s="33" t="s">
        <v>898</v>
      </c>
      <c r="F840" s="33" t="s">
        <v>899</v>
      </c>
    </row>
    <row r="841" spans="1:6" x14ac:dyDescent="0.3">
      <c r="B841" s="29">
        <v>44103</v>
      </c>
      <c r="C841" t="s">
        <v>448</v>
      </c>
      <c r="D841" s="25" t="s">
        <v>371</v>
      </c>
    </row>
    <row r="842" spans="1:6" x14ac:dyDescent="0.3">
      <c r="B842" s="29">
        <v>44110</v>
      </c>
      <c r="C842" t="s">
        <v>773</v>
      </c>
      <c r="D842" s="25" t="s">
        <v>521</v>
      </c>
    </row>
    <row r="843" spans="1:6" x14ac:dyDescent="0.3">
      <c r="B843" s="29">
        <v>44116</v>
      </c>
      <c r="C843" t="s">
        <v>86</v>
      </c>
      <c r="D843" s="75" t="s">
        <v>333</v>
      </c>
    </row>
    <row r="844" spans="1:6" x14ac:dyDescent="0.3">
      <c r="B844" s="29">
        <v>44124</v>
      </c>
      <c r="C844" t="s">
        <v>895</v>
      </c>
      <c r="D844" s="25" t="s">
        <v>896</v>
      </c>
    </row>
    <row r="845" spans="1:6" x14ac:dyDescent="0.3">
      <c r="B845" s="29">
        <v>44131</v>
      </c>
      <c r="C845" t="s">
        <v>1211</v>
      </c>
      <c r="D845" s="25" t="s">
        <v>371</v>
      </c>
    </row>
    <row r="846" spans="1:6" x14ac:dyDescent="0.3">
      <c r="B846" s="29">
        <v>44138</v>
      </c>
      <c r="C846" t="s">
        <v>661</v>
      </c>
      <c r="D846" s="25" t="s">
        <v>424</v>
      </c>
    </row>
    <row r="847" spans="1:6" x14ac:dyDescent="0.3">
      <c r="B847" s="29" t="s">
        <v>356</v>
      </c>
      <c r="C847" t="s">
        <v>291</v>
      </c>
      <c r="D847" s="25" t="s">
        <v>417</v>
      </c>
    </row>
    <row r="848" spans="1:6" x14ac:dyDescent="0.3">
      <c r="B848" s="29">
        <v>44152</v>
      </c>
      <c r="C848" t="s">
        <v>481</v>
      </c>
      <c r="D848" s="25" t="s">
        <v>897</v>
      </c>
    </row>
    <row r="849" spans="1:6" x14ac:dyDescent="0.3">
      <c r="B849" s="29">
        <v>44164</v>
      </c>
      <c r="C849" t="s">
        <v>547</v>
      </c>
      <c r="D849" s="25" t="s">
        <v>417</v>
      </c>
    </row>
    <row r="850" spans="1:6" x14ac:dyDescent="0.3">
      <c r="A850" t="s">
        <v>906</v>
      </c>
      <c r="E850" s="33" t="s">
        <v>913</v>
      </c>
      <c r="F850" s="33" t="s">
        <v>913</v>
      </c>
    </row>
    <row r="851" spans="1:6" x14ac:dyDescent="0.3">
      <c r="B851" s="29">
        <v>44110</v>
      </c>
      <c r="C851" s="34" t="s">
        <v>907</v>
      </c>
      <c r="D851" s="25" t="s">
        <v>371</v>
      </c>
    </row>
    <row r="852" spans="1:6" x14ac:dyDescent="0.3">
      <c r="B852" s="29">
        <v>44131</v>
      </c>
      <c r="C852" t="s">
        <v>1331</v>
      </c>
      <c r="D852" s="25" t="s">
        <v>487</v>
      </c>
    </row>
    <row r="853" spans="1:6" x14ac:dyDescent="0.3">
      <c r="B853" s="29">
        <v>44138</v>
      </c>
      <c r="C853" t="s">
        <v>900</v>
      </c>
      <c r="D853" s="25" t="s">
        <v>909</v>
      </c>
    </row>
    <row r="854" spans="1:6" x14ac:dyDescent="0.3">
      <c r="B854" s="29">
        <v>44144</v>
      </c>
      <c r="C854" t="s">
        <v>743</v>
      </c>
      <c r="D854" s="25" t="s">
        <v>910</v>
      </c>
    </row>
    <row r="855" spans="1:6" x14ac:dyDescent="0.3">
      <c r="B855" s="29">
        <v>44145</v>
      </c>
      <c r="C855" t="s">
        <v>86</v>
      </c>
      <c r="D855" s="25" t="s">
        <v>908</v>
      </c>
    </row>
    <row r="856" spans="1:6" x14ac:dyDescent="0.3">
      <c r="B856" s="29" t="s">
        <v>473</v>
      </c>
      <c r="C856" t="s">
        <v>266</v>
      </c>
      <c r="D856" s="25" t="s">
        <v>417</v>
      </c>
    </row>
    <row r="857" spans="1:6" x14ac:dyDescent="0.3">
      <c r="A857" t="s">
        <v>1220</v>
      </c>
      <c r="E857" s="33" t="s">
        <v>903</v>
      </c>
      <c r="F857" s="33" t="s">
        <v>795</v>
      </c>
    </row>
    <row r="858" spans="1:6" x14ac:dyDescent="0.3">
      <c r="B858" s="29">
        <v>44110</v>
      </c>
      <c r="C858" t="s">
        <v>901</v>
      </c>
      <c r="D858" s="25" t="s">
        <v>333</v>
      </c>
    </row>
    <row r="859" spans="1:6" x14ac:dyDescent="0.3">
      <c r="B859" s="29">
        <v>44112</v>
      </c>
      <c r="C859" t="s">
        <v>732</v>
      </c>
      <c r="D859" s="25" t="s">
        <v>340</v>
      </c>
    </row>
    <row r="860" spans="1:6" x14ac:dyDescent="0.3">
      <c r="B860" s="29">
        <v>44117</v>
      </c>
      <c r="C860" t="s">
        <v>133</v>
      </c>
      <c r="D860" s="25" t="s">
        <v>371</v>
      </c>
    </row>
    <row r="861" spans="1:6" x14ac:dyDescent="0.3">
      <c r="B861" s="29">
        <v>44121</v>
      </c>
      <c r="C861" t="s">
        <v>778</v>
      </c>
      <c r="D861" s="25" t="s">
        <v>371</v>
      </c>
    </row>
    <row r="862" spans="1:6" x14ac:dyDescent="0.3">
      <c r="B862" s="29">
        <v>44138</v>
      </c>
      <c r="C862" t="s">
        <v>394</v>
      </c>
      <c r="D862" s="25" t="s">
        <v>391</v>
      </c>
    </row>
    <row r="863" spans="1:6" x14ac:dyDescent="0.3">
      <c r="B863" s="29">
        <v>44145</v>
      </c>
      <c r="C863" t="s">
        <v>829</v>
      </c>
      <c r="D863" s="25" t="s">
        <v>378</v>
      </c>
    </row>
    <row r="864" spans="1:6" x14ac:dyDescent="0.3">
      <c r="B864" s="29">
        <v>44152</v>
      </c>
      <c r="C864" t="s">
        <v>112</v>
      </c>
      <c r="D864" s="25" t="s">
        <v>410</v>
      </c>
    </row>
    <row r="865" spans="1:6" x14ac:dyDescent="0.3">
      <c r="B865" s="29">
        <v>44159</v>
      </c>
      <c r="C865" t="s">
        <v>481</v>
      </c>
      <c r="D865" s="25" t="s">
        <v>346</v>
      </c>
    </row>
    <row r="866" spans="1:6" x14ac:dyDescent="0.3">
      <c r="B866" s="29" t="s">
        <v>362</v>
      </c>
      <c r="C866" t="s">
        <v>902</v>
      </c>
      <c r="D866" s="25" t="s">
        <v>357</v>
      </c>
    </row>
    <row r="868" spans="1:6" x14ac:dyDescent="0.3">
      <c r="A868" s="76">
        <v>1907</v>
      </c>
      <c r="B868" s="76"/>
      <c r="C868" s="76"/>
      <c r="D868" s="76"/>
    </row>
    <row r="869" spans="1:6" x14ac:dyDescent="0.3">
      <c r="A869" t="s">
        <v>918</v>
      </c>
      <c r="E869" s="33" t="s">
        <v>253</v>
      </c>
      <c r="F869" s="33" t="s">
        <v>864</v>
      </c>
    </row>
    <row r="870" spans="1:6" x14ac:dyDescent="0.3">
      <c r="B870" s="29" t="s">
        <v>919</v>
      </c>
      <c r="C870" t="s">
        <v>266</v>
      </c>
      <c r="D870" s="25" t="s">
        <v>438</v>
      </c>
    </row>
    <row r="871" spans="1:6" x14ac:dyDescent="0.3">
      <c r="B871" s="29">
        <v>44109</v>
      </c>
      <c r="C871" t="s">
        <v>925</v>
      </c>
      <c r="D871" s="25" t="s">
        <v>287</v>
      </c>
    </row>
    <row r="872" spans="1:6" x14ac:dyDescent="0.3">
      <c r="B872" s="29">
        <v>44116</v>
      </c>
      <c r="C872" t="s">
        <v>926</v>
      </c>
      <c r="D872" s="25" t="s">
        <v>424</v>
      </c>
    </row>
    <row r="873" spans="1:6" x14ac:dyDescent="0.3">
      <c r="B873" s="29">
        <v>44123</v>
      </c>
      <c r="C873" t="s">
        <v>288</v>
      </c>
      <c r="D873" s="25" t="s">
        <v>779</v>
      </c>
    </row>
    <row r="874" spans="1:6" x14ac:dyDescent="0.3">
      <c r="B874" s="29">
        <v>44129</v>
      </c>
      <c r="C874" t="s">
        <v>920</v>
      </c>
      <c r="D874" s="25" t="s">
        <v>921</v>
      </c>
    </row>
    <row r="875" spans="1:6" x14ac:dyDescent="0.3">
      <c r="B875" s="29">
        <v>44132</v>
      </c>
      <c r="C875" t="s">
        <v>922</v>
      </c>
      <c r="D875" s="25" t="s">
        <v>912</v>
      </c>
    </row>
    <row r="876" spans="1:6" x14ac:dyDescent="0.3">
      <c r="B876" s="29">
        <v>44135</v>
      </c>
      <c r="C876" t="s">
        <v>922</v>
      </c>
      <c r="D876" s="25" t="s">
        <v>705</v>
      </c>
    </row>
    <row r="877" spans="1:6" x14ac:dyDescent="0.3">
      <c r="B877" s="29">
        <v>44151</v>
      </c>
      <c r="C877" t="s">
        <v>923</v>
      </c>
      <c r="D877" s="25" t="s">
        <v>323</v>
      </c>
    </row>
    <row r="878" spans="1:6" x14ac:dyDescent="0.3">
      <c r="B878" s="29">
        <v>44165</v>
      </c>
      <c r="C878" t="s">
        <v>288</v>
      </c>
      <c r="D878" s="25" t="s">
        <v>924</v>
      </c>
    </row>
    <row r="879" spans="1:6" x14ac:dyDescent="0.3">
      <c r="A879" s="41" t="s">
        <v>927</v>
      </c>
      <c r="E879" s="33" t="s">
        <v>254</v>
      </c>
      <c r="F879" s="33" t="s">
        <v>337</v>
      </c>
    </row>
    <row r="880" spans="1:6" x14ac:dyDescent="0.3">
      <c r="B880" s="29">
        <v>44109</v>
      </c>
      <c r="C880" t="s">
        <v>1331</v>
      </c>
      <c r="D880" s="25" t="s">
        <v>928</v>
      </c>
    </row>
    <row r="881" spans="1:6" x14ac:dyDescent="0.3">
      <c r="B881" s="29">
        <v>44111</v>
      </c>
      <c r="C881" t="s">
        <v>930</v>
      </c>
      <c r="D881" s="25" t="s">
        <v>417</v>
      </c>
    </row>
    <row r="882" spans="1:6" x14ac:dyDescent="0.3">
      <c r="B882" s="29">
        <v>44116</v>
      </c>
      <c r="C882" t="s">
        <v>931</v>
      </c>
      <c r="D882" s="25" t="s">
        <v>853</v>
      </c>
    </row>
    <row r="883" spans="1:6" x14ac:dyDescent="0.3">
      <c r="B883" s="29">
        <v>44123</v>
      </c>
      <c r="C883" t="s">
        <v>314</v>
      </c>
      <c r="D883" s="25" t="s">
        <v>932</v>
      </c>
    </row>
    <row r="884" spans="1:6" x14ac:dyDescent="0.3">
      <c r="B884" s="29">
        <v>44130</v>
      </c>
      <c r="C884" t="s">
        <v>690</v>
      </c>
      <c r="D884" s="25" t="s">
        <v>566</v>
      </c>
    </row>
    <row r="885" spans="1:6" x14ac:dyDescent="0.3">
      <c r="B885" s="29">
        <v>44137</v>
      </c>
      <c r="C885" t="s">
        <v>933</v>
      </c>
      <c r="D885" s="25" t="s">
        <v>391</v>
      </c>
    </row>
    <row r="886" spans="1:6" x14ac:dyDescent="0.3">
      <c r="B886" s="29">
        <v>44144</v>
      </c>
      <c r="C886" t="s">
        <v>937</v>
      </c>
      <c r="D886" s="25" t="s">
        <v>938</v>
      </c>
    </row>
    <row r="887" spans="1:6" x14ac:dyDescent="0.3">
      <c r="B887" s="29">
        <v>44151</v>
      </c>
      <c r="C887" t="s">
        <v>934</v>
      </c>
      <c r="D887" s="25" t="s">
        <v>935</v>
      </c>
    </row>
    <row r="888" spans="1:6" x14ac:dyDescent="0.3">
      <c r="B888" s="29">
        <v>44158</v>
      </c>
      <c r="C888" t="s">
        <v>922</v>
      </c>
      <c r="D888" s="25" t="s">
        <v>853</v>
      </c>
    </row>
    <row r="889" spans="1:6" x14ac:dyDescent="0.3">
      <c r="B889" s="29">
        <v>44163</v>
      </c>
      <c r="C889" t="s">
        <v>288</v>
      </c>
      <c r="D889" s="25" t="s">
        <v>936</v>
      </c>
    </row>
    <row r="890" spans="1:6" x14ac:dyDescent="0.3">
      <c r="A890" t="s">
        <v>939</v>
      </c>
      <c r="E890" s="33" t="s">
        <v>301</v>
      </c>
      <c r="F890" s="33" t="s">
        <v>944</v>
      </c>
    </row>
    <row r="891" spans="1:6" x14ac:dyDescent="0.3">
      <c r="B891" s="29">
        <v>44106</v>
      </c>
      <c r="C891" t="s">
        <v>383</v>
      </c>
      <c r="D891" s="25" t="s">
        <v>840</v>
      </c>
    </row>
    <row r="892" spans="1:6" x14ac:dyDescent="0.3">
      <c r="B892" s="29">
        <v>44109</v>
      </c>
      <c r="C892" t="s">
        <v>940</v>
      </c>
      <c r="D892" s="25" t="s">
        <v>551</v>
      </c>
    </row>
    <row r="893" spans="1:6" x14ac:dyDescent="0.3">
      <c r="B893" s="29" t="s">
        <v>297</v>
      </c>
      <c r="C893" t="s">
        <v>291</v>
      </c>
      <c r="D893" s="25" t="s">
        <v>941</v>
      </c>
    </row>
    <row r="894" spans="1:6" x14ac:dyDescent="0.3">
      <c r="B894" s="29">
        <v>44123</v>
      </c>
      <c r="C894" t="s">
        <v>189</v>
      </c>
      <c r="D894" s="25" t="s">
        <v>793</v>
      </c>
    </row>
    <row r="895" spans="1:6" x14ac:dyDescent="0.3">
      <c r="B895" s="29">
        <v>44130</v>
      </c>
      <c r="C895" t="s">
        <v>266</v>
      </c>
      <c r="D895" s="25" t="s">
        <v>521</v>
      </c>
    </row>
    <row r="896" spans="1:6" x14ac:dyDescent="0.3">
      <c r="B896" s="29">
        <v>44144</v>
      </c>
      <c r="C896" t="s">
        <v>844</v>
      </c>
      <c r="D896" s="25" t="s">
        <v>541</v>
      </c>
    </row>
    <row r="897" spans="1:6" x14ac:dyDescent="0.3">
      <c r="B897" s="29">
        <v>44151</v>
      </c>
      <c r="C897" t="s">
        <v>314</v>
      </c>
      <c r="D897" s="25" t="s">
        <v>942</v>
      </c>
    </row>
    <row r="898" spans="1:6" x14ac:dyDescent="0.3">
      <c r="B898" s="29">
        <v>44163</v>
      </c>
      <c r="C898" t="s">
        <v>861</v>
      </c>
      <c r="D898" s="25" t="s">
        <v>543</v>
      </c>
    </row>
    <row r="899" spans="1:6" x14ac:dyDescent="0.3">
      <c r="B899" s="29">
        <v>44178</v>
      </c>
      <c r="C899" t="s">
        <v>189</v>
      </c>
      <c r="D899" s="25" t="s">
        <v>943</v>
      </c>
    </row>
    <row r="900" spans="1:6" x14ac:dyDescent="0.3">
      <c r="A900" t="s">
        <v>1096</v>
      </c>
      <c r="E900" s="33" t="s">
        <v>255</v>
      </c>
      <c r="F900" s="33" t="s">
        <v>788</v>
      </c>
    </row>
    <row r="901" spans="1:6" x14ac:dyDescent="0.3">
      <c r="B901" s="29">
        <v>44470</v>
      </c>
      <c r="C901" t="s">
        <v>1097</v>
      </c>
      <c r="D901" s="25" t="s">
        <v>346</v>
      </c>
    </row>
    <row r="902" spans="1:6" x14ac:dyDescent="0.3">
      <c r="B902" s="29">
        <v>44474</v>
      </c>
      <c r="C902" t="s">
        <v>1210</v>
      </c>
      <c r="D902" s="25" t="s">
        <v>680</v>
      </c>
      <c r="F902" s="56"/>
    </row>
    <row r="903" spans="1:6" x14ac:dyDescent="0.3">
      <c r="B903" s="29">
        <v>44483</v>
      </c>
      <c r="C903" t="s">
        <v>286</v>
      </c>
      <c r="D903" s="25" t="s">
        <v>303</v>
      </c>
    </row>
    <row r="904" spans="1:6" x14ac:dyDescent="0.3">
      <c r="B904" s="29" t="s">
        <v>380</v>
      </c>
      <c r="C904" t="s">
        <v>266</v>
      </c>
      <c r="D904" s="25" t="s">
        <v>363</v>
      </c>
    </row>
    <row r="905" spans="1:6" x14ac:dyDescent="0.3">
      <c r="B905" s="29">
        <v>44502</v>
      </c>
      <c r="C905" t="s">
        <v>1331</v>
      </c>
      <c r="D905" s="25" t="s">
        <v>382</v>
      </c>
    </row>
    <row r="906" spans="1:6" x14ac:dyDescent="0.3">
      <c r="B906" s="29">
        <v>44516</v>
      </c>
      <c r="C906" t="s">
        <v>1121</v>
      </c>
      <c r="D906" s="25" t="s">
        <v>478</v>
      </c>
    </row>
    <row r="907" spans="1:6" x14ac:dyDescent="0.3">
      <c r="A907" t="s">
        <v>1100</v>
      </c>
      <c r="E907" s="33" t="s">
        <v>667</v>
      </c>
      <c r="F907" s="33" t="s">
        <v>944</v>
      </c>
    </row>
    <row r="908" spans="1:6" x14ac:dyDescent="0.3">
      <c r="B908" s="29">
        <v>44106</v>
      </c>
      <c r="C908" t="s">
        <v>383</v>
      </c>
      <c r="D908" s="25" t="s">
        <v>840</v>
      </c>
    </row>
    <row r="909" spans="1:6" x14ac:dyDescent="0.3">
      <c r="B909" s="29">
        <v>44109</v>
      </c>
      <c r="C909" t="s">
        <v>940</v>
      </c>
      <c r="D909" s="25" t="s">
        <v>551</v>
      </c>
    </row>
    <row r="910" spans="1:6" x14ac:dyDescent="0.3">
      <c r="B910" s="29">
        <v>44481</v>
      </c>
      <c r="C910" t="s">
        <v>291</v>
      </c>
      <c r="D910" s="25" t="s">
        <v>941</v>
      </c>
    </row>
    <row r="911" spans="1:6" x14ac:dyDescent="0.3">
      <c r="B911" s="29">
        <v>44123</v>
      </c>
      <c r="C911" t="s">
        <v>189</v>
      </c>
      <c r="D911" s="25" t="s">
        <v>793</v>
      </c>
    </row>
    <row r="912" spans="1:6" x14ac:dyDescent="0.3">
      <c r="B912" s="29" t="s">
        <v>1101</v>
      </c>
      <c r="C912" t="s">
        <v>266</v>
      </c>
      <c r="D912" s="25" t="s">
        <v>521</v>
      </c>
    </row>
    <row r="913" spans="1:6" x14ac:dyDescent="0.3">
      <c r="B913" s="29">
        <v>44144</v>
      </c>
      <c r="C913" t="s">
        <v>844</v>
      </c>
      <c r="D913" s="25" t="s">
        <v>541</v>
      </c>
    </row>
    <row r="914" spans="1:6" x14ac:dyDescent="0.3">
      <c r="B914" s="29">
        <v>44151</v>
      </c>
      <c r="C914" t="s">
        <v>314</v>
      </c>
      <c r="D914" s="25" t="s">
        <v>942</v>
      </c>
    </row>
    <row r="915" spans="1:6" x14ac:dyDescent="0.3">
      <c r="B915" s="29">
        <v>44163</v>
      </c>
      <c r="C915" t="s">
        <v>861</v>
      </c>
      <c r="D915" s="25" t="s">
        <v>543</v>
      </c>
    </row>
    <row r="916" spans="1:6" x14ac:dyDescent="0.3">
      <c r="B916" s="29">
        <v>44178</v>
      </c>
      <c r="C916" t="s">
        <v>189</v>
      </c>
      <c r="D916" s="25" t="s">
        <v>943</v>
      </c>
    </row>
    <row r="917" spans="1:6" x14ac:dyDescent="0.3">
      <c r="A917" t="s">
        <v>1102</v>
      </c>
      <c r="E917" s="33" t="s">
        <v>281</v>
      </c>
      <c r="F917" s="33" t="s">
        <v>707</v>
      </c>
    </row>
    <row r="918" spans="1:6" x14ac:dyDescent="0.3">
      <c r="B918" s="29">
        <v>44466</v>
      </c>
      <c r="C918" t="s">
        <v>383</v>
      </c>
      <c r="D918" s="25" t="s">
        <v>637</v>
      </c>
    </row>
    <row r="919" spans="1:6" x14ac:dyDescent="0.3">
      <c r="B919" s="29">
        <v>44474</v>
      </c>
      <c r="C919" t="s">
        <v>55</v>
      </c>
      <c r="D919" s="25" t="s">
        <v>365</v>
      </c>
    </row>
    <row r="920" spans="1:6" x14ac:dyDescent="0.3">
      <c r="B920" s="29">
        <v>44495</v>
      </c>
      <c r="C920" t="s">
        <v>1209</v>
      </c>
      <c r="D920" s="25" t="s">
        <v>626</v>
      </c>
    </row>
    <row r="921" spans="1:6" x14ac:dyDescent="0.3">
      <c r="B921" s="29">
        <v>44509</v>
      </c>
      <c r="C921" t="s">
        <v>577</v>
      </c>
      <c r="D921" s="25" t="s">
        <v>293</v>
      </c>
    </row>
    <row r="922" spans="1:6" x14ac:dyDescent="0.3">
      <c r="B922" s="29" t="s">
        <v>792</v>
      </c>
      <c r="C922" t="s">
        <v>515</v>
      </c>
      <c r="D922" s="25" t="s">
        <v>381</v>
      </c>
    </row>
    <row r="923" spans="1:6" x14ac:dyDescent="0.3">
      <c r="B923" s="29">
        <v>44528</v>
      </c>
      <c r="C923" t="s">
        <v>1208</v>
      </c>
      <c r="D923" s="25" t="s">
        <v>293</v>
      </c>
    </row>
    <row r="924" spans="1:6" x14ac:dyDescent="0.3">
      <c r="A924" t="s">
        <v>1103</v>
      </c>
      <c r="E924" s="33" t="s">
        <v>253</v>
      </c>
      <c r="F924" s="33" t="s">
        <v>386</v>
      </c>
    </row>
    <row r="925" spans="1:6" x14ac:dyDescent="0.3">
      <c r="B925" s="29" t="s">
        <v>1104</v>
      </c>
      <c r="C925" t="s">
        <v>266</v>
      </c>
      <c r="D925" s="25" t="s">
        <v>637</v>
      </c>
    </row>
    <row r="926" spans="1:6" x14ac:dyDescent="0.3">
      <c r="B926" s="29">
        <v>44523</v>
      </c>
      <c r="C926" s="34" t="s">
        <v>65</v>
      </c>
      <c r="D926" s="45" t="s">
        <v>1107</v>
      </c>
    </row>
    <row r="927" spans="1:6" x14ac:dyDescent="0.3">
      <c r="A927" t="s">
        <v>1108</v>
      </c>
      <c r="E927" s="33" t="s">
        <v>1118</v>
      </c>
      <c r="F927" s="33" t="s">
        <v>739</v>
      </c>
    </row>
    <row r="928" spans="1:6" x14ac:dyDescent="0.3">
      <c r="B928" s="29">
        <v>44466</v>
      </c>
      <c r="C928" t="s">
        <v>112</v>
      </c>
      <c r="D928" s="25" t="s">
        <v>637</v>
      </c>
    </row>
    <row r="929" spans="1:6" x14ac:dyDescent="0.3">
      <c r="B929" s="29">
        <v>44471</v>
      </c>
      <c r="C929" t="s">
        <v>86</v>
      </c>
      <c r="D929" s="25" t="s">
        <v>541</v>
      </c>
    </row>
    <row r="930" spans="1:6" x14ac:dyDescent="0.3">
      <c r="B930" s="29">
        <v>44474</v>
      </c>
      <c r="C930" t="s">
        <v>1109</v>
      </c>
      <c r="D930" s="25" t="s">
        <v>1110</v>
      </c>
    </row>
    <row r="931" spans="1:6" x14ac:dyDescent="0.3">
      <c r="B931" s="29">
        <v>44481</v>
      </c>
      <c r="C931" t="s">
        <v>1111</v>
      </c>
      <c r="D931" s="25" t="s">
        <v>284</v>
      </c>
    </row>
    <row r="932" spans="1:6" x14ac:dyDescent="0.3">
      <c r="B932" s="29">
        <v>44488</v>
      </c>
      <c r="C932" t="s">
        <v>93</v>
      </c>
      <c r="D932" s="25" t="s">
        <v>1112</v>
      </c>
    </row>
    <row r="933" spans="1:6" x14ac:dyDescent="0.3">
      <c r="B933" s="29">
        <v>44495</v>
      </c>
      <c r="C933" t="s">
        <v>778</v>
      </c>
      <c r="D933" s="25" t="s">
        <v>1113</v>
      </c>
    </row>
    <row r="934" spans="1:6" x14ac:dyDescent="0.3">
      <c r="B934" s="29">
        <v>44502</v>
      </c>
      <c r="C934" t="s">
        <v>1114</v>
      </c>
      <c r="D934" s="25" t="s">
        <v>428</v>
      </c>
    </row>
    <row r="935" spans="1:6" x14ac:dyDescent="0.3">
      <c r="B935" s="29">
        <v>44509</v>
      </c>
      <c r="C935" t="s">
        <v>175</v>
      </c>
      <c r="D935" s="25" t="s">
        <v>487</v>
      </c>
    </row>
    <row r="936" spans="1:6" x14ac:dyDescent="0.3">
      <c r="B936" s="29">
        <v>44516</v>
      </c>
      <c r="C936" t="s">
        <v>347</v>
      </c>
      <c r="D936" s="25" t="s">
        <v>447</v>
      </c>
    </row>
    <row r="937" spans="1:6" x14ac:dyDescent="0.3">
      <c r="B937" s="29" t="s">
        <v>1117</v>
      </c>
      <c r="C937" t="s">
        <v>1115</v>
      </c>
      <c r="D937" s="25" t="s">
        <v>1116</v>
      </c>
    </row>
    <row r="939" spans="1:6" x14ac:dyDescent="0.3">
      <c r="A939" s="76">
        <v>1908</v>
      </c>
      <c r="B939" s="76"/>
      <c r="C939" s="76"/>
      <c r="D939" s="76"/>
    </row>
    <row r="940" spans="1:6" x14ac:dyDescent="0.3">
      <c r="A940" t="s">
        <v>1126</v>
      </c>
      <c r="E940" s="33" t="s">
        <v>254</v>
      </c>
      <c r="F940" s="33" t="s">
        <v>746</v>
      </c>
    </row>
    <row r="941" spans="1:6" x14ac:dyDescent="0.3">
      <c r="B941" s="29">
        <v>44465</v>
      </c>
      <c r="C941" t="s">
        <v>314</v>
      </c>
      <c r="D941" s="25" t="s">
        <v>472</v>
      </c>
    </row>
    <row r="942" spans="1:6" x14ac:dyDescent="0.3">
      <c r="B942" s="29" t="s">
        <v>1127</v>
      </c>
      <c r="C942" t="s">
        <v>291</v>
      </c>
      <c r="D942" s="25" t="s">
        <v>1129</v>
      </c>
    </row>
    <row r="943" spans="1:6" x14ac:dyDescent="0.3">
      <c r="B943" s="29">
        <v>44479</v>
      </c>
      <c r="C943" t="s">
        <v>1130</v>
      </c>
      <c r="D943" s="25" t="s">
        <v>693</v>
      </c>
    </row>
    <row r="944" spans="1:6" x14ac:dyDescent="0.3">
      <c r="B944" s="29">
        <v>44514</v>
      </c>
      <c r="C944" t="s">
        <v>531</v>
      </c>
      <c r="D944" s="25" t="s">
        <v>1131</v>
      </c>
    </row>
    <row r="945" spans="1:8" x14ac:dyDescent="0.3">
      <c r="B945" s="29">
        <v>44517</v>
      </c>
      <c r="C945" t="s">
        <v>426</v>
      </c>
      <c r="D945" s="25" t="s">
        <v>521</v>
      </c>
    </row>
    <row r="946" spans="1:8" x14ac:dyDescent="0.3">
      <c r="B946" s="29">
        <v>44521</v>
      </c>
      <c r="C946" t="s">
        <v>266</v>
      </c>
      <c r="D946" s="25" t="s">
        <v>1132</v>
      </c>
    </row>
    <row r="947" spans="1:8" x14ac:dyDescent="0.3">
      <c r="A947" t="s">
        <v>1134</v>
      </c>
      <c r="E947" s="33" t="s">
        <v>255</v>
      </c>
      <c r="F947" s="33" t="s">
        <v>1144</v>
      </c>
    </row>
    <row r="948" spans="1:8" x14ac:dyDescent="0.3">
      <c r="B948" s="29">
        <v>44465</v>
      </c>
      <c r="C948" t="s">
        <v>383</v>
      </c>
      <c r="D948" s="25" t="s">
        <v>521</v>
      </c>
    </row>
    <row r="949" spans="1:8" x14ac:dyDescent="0.3">
      <c r="B949" s="29">
        <v>44472</v>
      </c>
      <c r="C949" t="s">
        <v>1331</v>
      </c>
      <c r="D949" s="25" t="s">
        <v>474</v>
      </c>
    </row>
    <row r="950" spans="1:8" x14ac:dyDescent="0.3">
      <c r="B950" s="29" t="s">
        <v>297</v>
      </c>
      <c r="C950" t="s">
        <v>266</v>
      </c>
      <c r="D950" s="25" t="s">
        <v>601</v>
      </c>
    </row>
    <row r="951" spans="1:8" x14ac:dyDescent="0.3">
      <c r="B951" s="29">
        <v>44486</v>
      </c>
      <c r="C951" s="34" t="s">
        <v>1135</v>
      </c>
      <c r="D951" s="25" t="s">
        <v>381</v>
      </c>
    </row>
    <row r="952" spans="1:8" x14ac:dyDescent="0.3">
      <c r="B952" s="29">
        <v>44493</v>
      </c>
      <c r="C952" s="34" t="s">
        <v>1136</v>
      </c>
      <c r="D952" s="25" t="s">
        <v>371</v>
      </c>
    </row>
    <row r="953" spans="1:8" x14ac:dyDescent="0.3">
      <c r="B953" s="29">
        <v>44500</v>
      </c>
      <c r="C953" s="34" t="s">
        <v>1139</v>
      </c>
      <c r="D953" s="25" t="s">
        <v>378</v>
      </c>
    </row>
    <row r="954" spans="1:8" x14ac:dyDescent="0.3">
      <c r="B954" s="29">
        <v>44507</v>
      </c>
      <c r="C954" s="34" t="s">
        <v>1137</v>
      </c>
      <c r="D954" s="25" t="s">
        <v>485</v>
      </c>
    </row>
    <row r="955" spans="1:8" x14ac:dyDescent="0.3">
      <c r="B955" s="29">
        <v>44514</v>
      </c>
      <c r="C955" t="s">
        <v>1138</v>
      </c>
      <c r="D955" s="25" t="s">
        <v>648</v>
      </c>
    </row>
    <row r="956" spans="1:8" x14ac:dyDescent="0.3">
      <c r="B956" s="29">
        <v>44521</v>
      </c>
      <c r="C956" t="s">
        <v>288</v>
      </c>
      <c r="D956" s="25" t="s">
        <v>1140</v>
      </c>
    </row>
    <row r="957" spans="1:8" x14ac:dyDescent="0.3">
      <c r="B957" s="29">
        <v>44526</v>
      </c>
      <c r="C957" t="s">
        <v>1141</v>
      </c>
      <c r="D957" s="25" t="s">
        <v>578</v>
      </c>
    </row>
    <row r="958" spans="1:8" x14ac:dyDescent="0.3">
      <c r="B958" s="29">
        <v>44534</v>
      </c>
      <c r="C958" s="34" t="s">
        <v>1142</v>
      </c>
      <c r="D958" s="25" t="s">
        <v>494</v>
      </c>
      <c r="G958" s="34" t="s">
        <v>1143</v>
      </c>
      <c r="H958" s="34" t="s">
        <v>1143</v>
      </c>
    </row>
    <row r="959" spans="1:8" x14ac:dyDescent="0.3">
      <c r="A959" t="s">
        <v>1162</v>
      </c>
      <c r="E959" s="33" t="s">
        <v>563</v>
      </c>
      <c r="F959" s="33" t="s">
        <v>888</v>
      </c>
    </row>
    <row r="960" spans="1:8" x14ac:dyDescent="0.3">
      <c r="B960" s="29">
        <v>44472</v>
      </c>
      <c r="C960" t="s">
        <v>1111</v>
      </c>
      <c r="D960" s="25" t="s">
        <v>457</v>
      </c>
    </row>
    <row r="961" spans="1:6" x14ac:dyDescent="0.3">
      <c r="B961" s="29">
        <v>44479</v>
      </c>
      <c r="C961" t="s">
        <v>496</v>
      </c>
      <c r="D961" s="25" t="s">
        <v>1110</v>
      </c>
    </row>
    <row r="962" spans="1:6" x14ac:dyDescent="0.3">
      <c r="B962" s="29" t="s">
        <v>1163</v>
      </c>
      <c r="C962" t="s">
        <v>266</v>
      </c>
      <c r="D962" s="25" t="s">
        <v>346</v>
      </c>
    </row>
    <row r="963" spans="1:6" x14ac:dyDescent="0.3">
      <c r="B963" s="29">
        <v>44495</v>
      </c>
      <c r="C963" t="s">
        <v>65</v>
      </c>
      <c r="D963" s="25" t="s">
        <v>412</v>
      </c>
    </row>
    <row r="964" spans="1:6" x14ac:dyDescent="0.3">
      <c r="B964" s="29">
        <v>44503</v>
      </c>
      <c r="C964" t="s">
        <v>1164</v>
      </c>
      <c r="D964" s="25" t="s">
        <v>363</v>
      </c>
    </row>
    <row r="965" spans="1:6" x14ac:dyDescent="0.3">
      <c r="B965" s="29">
        <v>44521</v>
      </c>
      <c r="C965" t="s">
        <v>181</v>
      </c>
      <c r="D965" s="25" t="s">
        <v>381</v>
      </c>
    </row>
    <row r="966" spans="1:6" x14ac:dyDescent="0.3">
      <c r="B966" s="29">
        <v>44526</v>
      </c>
      <c r="C966" t="s">
        <v>175</v>
      </c>
      <c r="D966" s="25" t="s">
        <v>793</v>
      </c>
    </row>
    <row r="967" spans="1:6" x14ac:dyDescent="0.3">
      <c r="A967" t="s">
        <v>1165</v>
      </c>
      <c r="E967" s="33" t="s">
        <v>415</v>
      </c>
      <c r="F967" s="33" t="s">
        <v>612</v>
      </c>
    </row>
    <row r="968" spans="1:6" x14ac:dyDescent="0.3">
      <c r="B968" s="29">
        <v>44467</v>
      </c>
      <c r="C968" t="s">
        <v>1166</v>
      </c>
      <c r="D968" s="25" t="s">
        <v>417</v>
      </c>
    </row>
    <row r="969" spans="1:6" x14ac:dyDescent="0.3">
      <c r="B969" s="29">
        <v>44472</v>
      </c>
      <c r="C969" t="s">
        <v>383</v>
      </c>
      <c r="D969" s="25" t="s">
        <v>363</v>
      </c>
    </row>
    <row r="970" spans="1:6" x14ac:dyDescent="0.3">
      <c r="B970" s="29">
        <v>44479</v>
      </c>
      <c r="C970" t="s">
        <v>288</v>
      </c>
      <c r="D970" s="25" t="s">
        <v>287</v>
      </c>
    </row>
    <row r="971" spans="1:6" x14ac:dyDescent="0.3">
      <c r="B971" s="29">
        <v>44486</v>
      </c>
      <c r="C971" t="s">
        <v>1167</v>
      </c>
      <c r="D971" s="25" t="s">
        <v>357</v>
      </c>
    </row>
    <row r="972" spans="1:6" x14ac:dyDescent="0.3">
      <c r="B972" s="29" t="s">
        <v>1171</v>
      </c>
      <c r="C972" t="s">
        <v>266</v>
      </c>
      <c r="D972" s="25" t="s">
        <v>417</v>
      </c>
    </row>
    <row r="973" spans="1:6" x14ac:dyDescent="0.3">
      <c r="B973" s="29">
        <v>44493</v>
      </c>
      <c r="C973" t="s">
        <v>1168</v>
      </c>
      <c r="D973" s="25" t="s">
        <v>446</v>
      </c>
    </row>
    <row r="974" spans="1:6" x14ac:dyDescent="0.3">
      <c r="B974" s="29">
        <v>44500</v>
      </c>
      <c r="C974" t="s">
        <v>1169</v>
      </c>
      <c r="D974" s="25" t="s">
        <v>417</v>
      </c>
    </row>
    <row r="975" spans="1:6" x14ac:dyDescent="0.3">
      <c r="B975" s="29">
        <v>44507</v>
      </c>
      <c r="C975" t="s">
        <v>728</v>
      </c>
      <c r="D975" s="25" t="s">
        <v>417</v>
      </c>
    </row>
    <row r="976" spans="1:6" x14ac:dyDescent="0.3">
      <c r="B976" s="29">
        <v>44514</v>
      </c>
      <c r="C976" t="s">
        <v>923</v>
      </c>
      <c r="D976" s="25" t="s">
        <v>457</v>
      </c>
    </row>
    <row r="977" spans="1:6" x14ac:dyDescent="0.3">
      <c r="B977" s="29">
        <v>44521</v>
      </c>
      <c r="C977" t="s">
        <v>1170</v>
      </c>
      <c r="D977" s="25" t="s">
        <v>485</v>
      </c>
    </row>
    <row r="978" spans="1:6" x14ac:dyDescent="0.3">
      <c r="B978" s="29">
        <v>44528</v>
      </c>
      <c r="C978" t="s">
        <v>288</v>
      </c>
      <c r="D978" s="25" t="s">
        <v>1172</v>
      </c>
    </row>
    <row r="979" spans="1:6" x14ac:dyDescent="0.3">
      <c r="A979" t="s">
        <v>1175</v>
      </c>
      <c r="E979" s="33" t="s">
        <v>282</v>
      </c>
      <c r="F979" s="33" t="s">
        <v>1179</v>
      </c>
    </row>
    <row r="980" spans="1:6" x14ac:dyDescent="0.3">
      <c r="B980" s="29">
        <v>3192</v>
      </c>
      <c r="C980" t="s">
        <v>732</v>
      </c>
      <c r="D980" s="25" t="s">
        <v>446</v>
      </c>
    </row>
    <row r="981" spans="1:6" x14ac:dyDescent="0.3">
      <c r="B981" s="29">
        <v>44469</v>
      </c>
      <c r="C981" t="s">
        <v>1176</v>
      </c>
      <c r="D981" s="25" t="s">
        <v>1177</v>
      </c>
    </row>
    <row r="982" spans="1:6" x14ac:dyDescent="0.3">
      <c r="B982" s="29">
        <v>44472</v>
      </c>
      <c r="C982" t="s">
        <v>189</v>
      </c>
      <c r="D982" s="25" t="s">
        <v>298</v>
      </c>
    </row>
    <row r="983" spans="1:6" x14ac:dyDescent="0.3">
      <c r="B983" s="29">
        <v>44478</v>
      </c>
      <c r="C983" t="s">
        <v>112</v>
      </c>
      <c r="D983" s="25" t="s">
        <v>333</v>
      </c>
    </row>
    <row r="984" spans="1:6" x14ac:dyDescent="0.3">
      <c r="B984" s="29">
        <v>44486</v>
      </c>
      <c r="C984" t="s">
        <v>1114</v>
      </c>
      <c r="D984" s="25" t="s">
        <v>371</v>
      </c>
    </row>
    <row r="985" spans="1:6" x14ac:dyDescent="0.3">
      <c r="B985" s="29" t="s">
        <v>653</v>
      </c>
      <c r="C985" t="s">
        <v>1115</v>
      </c>
      <c r="D985" s="25" t="s">
        <v>357</v>
      </c>
    </row>
    <row r="986" spans="1:6" x14ac:dyDescent="0.3">
      <c r="B986" s="29">
        <v>44514</v>
      </c>
      <c r="C986" t="s">
        <v>347</v>
      </c>
      <c r="D986" s="25" t="s">
        <v>357</v>
      </c>
    </row>
    <row r="987" spans="1:6" x14ac:dyDescent="0.3">
      <c r="B987" s="29">
        <v>44526</v>
      </c>
      <c r="C987" t="s">
        <v>778</v>
      </c>
      <c r="D987" s="25" t="s">
        <v>1178</v>
      </c>
    </row>
    <row r="988" spans="1:6" x14ac:dyDescent="0.3">
      <c r="A988" t="s">
        <v>1182</v>
      </c>
      <c r="E988" s="33" t="s">
        <v>707</v>
      </c>
      <c r="F988" s="33" t="s">
        <v>1194</v>
      </c>
    </row>
    <row r="989" spans="1:6" x14ac:dyDescent="0.3">
      <c r="B989" s="29">
        <v>44472</v>
      </c>
      <c r="C989" s="34" t="s">
        <v>332</v>
      </c>
      <c r="D989" s="25" t="s">
        <v>656</v>
      </c>
    </row>
    <row r="990" spans="1:6" x14ac:dyDescent="0.3">
      <c r="B990" s="29">
        <v>44475</v>
      </c>
      <c r="C990" s="34" t="s">
        <v>1184</v>
      </c>
      <c r="D990" s="25" t="s">
        <v>333</v>
      </c>
    </row>
    <row r="991" spans="1:6" x14ac:dyDescent="0.3">
      <c r="B991" s="29">
        <v>44478</v>
      </c>
      <c r="C991" s="34" t="s">
        <v>383</v>
      </c>
      <c r="D991" s="25" t="s">
        <v>428</v>
      </c>
    </row>
    <row r="992" spans="1:6" x14ac:dyDescent="0.3">
      <c r="B992" s="29">
        <v>44486</v>
      </c>
      <c r="C992" s="34" t="s">
        <v>314</v>
      </c>
      <c r="D992" s="25" t="s">
        <v>371</v>
      </c>
    </row>
    <row r="993" spans="1:9" x14ac:dyDescent="0.3">
      <c r="B993" s="29">
        <v>44496</v>
      </c>
      <c r="C993" s="34" t="s">
        <v>1189</v>
      </c>
      <c r="D993" s="25" t="s">
        <v>1183</v>
      </c>
      <c r="G993" s="34" t="s">
        <v>1186</v>
      </c>
      <c r="H993" s="34" t="s">
        <v>1187</v>
      </c>
      <c r="I993" s="34" t="s">
        <v>1188</v>
      </c>
    </row>
    <row r="994" spans="1:9" x14ac:dyDescent="0.3">
      <c r="B994" s="29">
        <v>44497</v>
      </c>
      <c r="C994" s="34" t="s">
        <v>524</v>
      </c>
      <c r="D994" s="25" t="s">
        <v>298</v>
      </c>
    </row>
    <row r="995" spans="1:9" x14ac:dyDescent="0.3">
      <c r="B995" s="29" t="s">
        <v>313</v>
      </c>
      <c r="C995" t="s">
        <v>515</v>
      </c>
      <c r="D995" s="25" t="s">
        <v>474</v>
      </c>
    </row>
    <row r="996" spans="1:9" x14ac:dyDescent="0.3">
      <c r="B996" s="29">
        <v>44514</v>
      </c>
      <c r="C996" s="34" t="s">
        <v>32</v>
      </c>
      <c r="D996" s="25" t="s">
        <v>1185</v>
      </c>
    </row>
    <row r="997" spans="1:9" x14ac:dyDescent="0.3">
      <c r="B997" s="29">
        <v>44520</v>
      </c>
      <c r="C997" s="34" t="s">
        <v>520</v>
      </c>
      <c r="D997" s="25" t="s">
        <v>1193</v>
      </c>
      <c r="G997" s="34" t="s">
        <v>1190</v>
      </c>
      <c r="H997" s="34" t="s">
        <v>1191</v>
      </c>
      <c r="I997" s="34" t="s">
        <v>1191</v>
      </c>
    </row>
    <row r="998" spans="1:9" x14ac:dyDescent="0.3">
      <c r="A998" s="34" t="s">
        <v>1195</v>
      </c>
    </row>
    <row r="999" spans="1:9" x14ac:dyDescent="0.3">
      <c r="B999" s="29">
        <v>44472</v>
      </c>
      <c r="C999" t="s">
        <v>394</v>
      </c>
      <c r="D999" s="25" t="s">
        <v>575</v>
      </c>
      <c r="E999" s="33" t="s">
        <v>645</v>
      </c>
      <c r="F999" s="33" t="s">
        <v>1204</v>
      </c>
    </row>
    <row r="1000" spans="1:9" x14ac:dyDescent="0.3">
      <c r="B1000" s="29">
        <v>44479</v>
      </c>
      <c r="C1000" t="s">
        <v>1196</v>
      </c>
      <c r="D1000" s="25" t="s">
        <v>371</v>
      </c>
    </row>
    <row r="1001" spans="1:9" x14ac:dyDescent="0.3">
      <c r="B1001" s="29">
        <v>44486</v>
      </c>
      <c r="C1001" t="s">
        <v>288</v>
      </c>
      <c r="D1001" s="25" t="s">
        <v>1197</v>
      </c>
    </row>
    <row r="1002" spans="1:9" x14ac:dyDescent="0.3">
      <c r="B1002" s="68">
        <v>44493</v>
      </c>
      <c r="C1002" t="s">
        <v>1198</v>
      </c>
      <c r="D1002" s="25" t="s">
        <v>605</v>
      </c>
    </row>
    <row r="1003" spans="1:9" x14ac:dyDescent="0.3">
      <c r="B1003" s="29">
        <v>44500</v>
      </c>
      <c r="C1003" t="s">
        <v>1212</v>
      </c>
      <c r="D1003" s="25" t="s">
        <v>1199</v>
      </c>
    </row>
    <row r="1004" spans="1:9" x14ac:dyDescent="0.3">
      <c r="B1004" s="29">
        <v>44507</v>
      </c>
      <c r="C1004" t="s">
        <v>1200</v>
      </c>
      <c r="D1004" s="25" t="s">
        <v>1201</v>
      </c>
    </row>
    <row r="1005" spans="1:9" x14ac:dyDescent="0.3">
      <c r="B1005" s="29" t="s">
        <v>666</v>
      </c>
      <c r="C1005" t="s">
        <v>291</v>
      </c>
      <c r="D1005" s="25" t="s">
        <v>417</v>
      </c>
    </row>
    <row r="1006" spans="1:9" x14ac:dyDescent="0.3">
      <c r="B1006" s="29">
        <v>44521</v>
      </c>
      <c r="C1006" t="s">
        <v>1202</v>
      </c>
      <c r="D1006" s="25" t="s">
        <v>1203</v>
      </c>
    </row>
    <row r="1007" spans="1:9" x14ac:dyDescent="0.3">
      <c r="B1007" s="29">
        <v>44526</v>
      </c>
      <c r="C1007" t="s">
        <v>347</v>
      </c>
      <c r="D1007" s="25" t="s">
        <v>779</v>
      </c>
    </row>
    <row r="1008" spans="1:9" x14ac:dyDescent="0.3">
      <c r="A1008" t="s">
        <v>1206</v>
      </c>
      <c r="E1008" s="33" t="s">
        <v>788</v>
      </c>
      <c r="F1008" s="33" t="s">
        <v>746</v>
      </c>
    </row>
    <row r="1009" spans="1:6" x14ac:dyDescent="0.3">
      <c r="B1009" s="29">
        <v>44465</v>
      </c>
      <c r="C1009" t="s">
        <v>314</v>
      </c>
      <c r="D1009" s="25" t="s">
        <v>472</v>
      </c>
    </row>
    <row r="1010" spans="1:6" x14ac:dyDescent="0.3">
      <c r="B1010" s="29">
        <v>44472</v>
      </c>
      <c r="C1010" t="s">
        <v>291</v>
      </c>
      <c r="D1010" s="25" t="s">
        <v>1129</v>
      </c>
    </row>
    <row r="1011" spans="1:6" x14ac:dyDescent="0.3">
      <c r="B1011" s="29">
        <v>44479</v>
      </c>
      <c r="C1011" t="s">
        <v>1130</v>
      </c>
      <c r="D1011" s="25" t="s">
        <v>693</v>
      </c>
    </row>
    <row r="1012" spans="1:6" x14ac:dyDescent="0.3">
      <c r="B1012" s="29">
        <v>44514</v>
      </c>
      <c r="C1012" t="s">
        <v>531</v>
      </c>
      <c r="D1012" s="25" t="s">
        <v>1131</v>
      </c>
    </row>
    <row r="1013" spans="1:6" x14ac:dyDescent="0.3">
      <c r="B1013" s="29">
        <v>44517</v>
      </c>
      <c r="C1013" t="s">
        <v>426</v>
      </c>
      <c r="D1013" s="25" t="s">
        <v>521</v>
      </c>
    </row>
    <row r="1014" spans="1:6" x14ac:dyDescent="0.3">
      <c r="B1014" s="29" t="s">
        <v>677</v>
      </c>
      <c r="C1014" t="s">
        <v>266</v>
      </c>
      <c r="D1014" s="25" t="s">
        <v>1132</v>
      </c>
    </row>
    <row r="1015" spans="1:6" x14ac:dyDescent="0.3">
      <c r="A1015" t="s">
        <v>1221</v>
      </c>
      <c r="E1015" s="33" t="s">
        <v>789</v>
      </c>
      <c r="F1015" s="33" t="s">
        <v>1225</v>
      </c>
    </row>
    <row r="1016" spans="1:6" x14ac:dyDescent="0.3">
      <c r="B1016" s="29">
        <v>44472</v>
      </c>
      <c r="C1016" t="s">
        <v>844</v>
      </c>
      <c r="D1016" s="25" t="s">
        <v>683</v>
      </c>
    </row>
    <row r="1017" spans="1:6" x14ac:dyDescent="0.3">
      <c r="B1017" s="29">
        <v>44479</v>
      </c>
      <c r="C1017" t="s">
        <v>577</v>
      </c>
      <c r="D1017" s="25" t="s">
        <v>357</v>
      </c>
    </row>
    <row r="1018" spans="1:6" x14ac:dyDescent="0.3">
      <c r="B1018" s="29">
        <v>44486</v>
      </c>
      <c r="C1018" t="s">
        <v>482</v>
      </c>
      <c r="D1018" s="25" t="s">
        <v>1116</v>
      </c>
    </row>
    <row r="1019" spans="1:6" x14ac:dyDescent="0.3">
      <c r="B1019" s="29">
        <v>44493</v>
      </c>
      <c r="C1019" t="s">
        <v>1208</v>
      </c>
      <c r="D1019" s="25" t="s">
        <v>410</v>
      </c>
    </row>
    <row r="1020" spans="1:6" x14ac:dyDescent="0.3">
      <c r="B1020" s="29">
        <v>44500</v>
      </c>
      <c r="C1020" t="s">
        <v>640</v>
      </c>
      <c r="D1020" s="25" t="s">
        <v>1222</v>
      </c>
    </row>
    <row r="1021" spans="1:6" x14ac:dyDescent="0.3">
      <c r="B1021" s="29">
        <v>44507</v>
      </c>
      <c r="C1021" t="s">
        <v>778</v>
      </c>
      <c r="D1021" s="25" t="s">
        <v>410</v>
      </c>
    </row>
    <row r="1022" spans="1:6" x14ac:dyDescent="0.3">
      <c r="B1022" s="29">
        <v>44514</v>
      </c>
      <c r="C1022" t="s">
        <v>1223</v>
      </c>
      <c r="D1022" s="25" t="s">
        <v>381</v>
      </c>
    </row>
    <row r="1023" spans="1:6" x14ac:dyDescent="0.3">
      <c r="B1023" s="29">
        <v>44521</v>
      </c>
      <c r="C1023" t="s">
        <v>481</v>
      </c>
      <c r="D1023" s="25" t="s">
        <v>1199</v>
      </c>
    </row>
    <row r="1024" spans="1:6" x14ac:dyDescent="0.3">
      <c r="B1024" s="29" t="s">
        <v>1224</v>
      </c>
      <c r="C1024" t="s">
        <v>1115</v>
      </c>
      <c r="D1024" s="25" t="s">
        <v>487</v>
      </c>
    </row>
    <row r="1026" spans="1:7" x14ac:dyDescent="0.3">
      <c r="A1026" s="76">
        <v>1909</v>
      </c>
      <c r="B1026" s="76"/>
      <c r="C1026" s="76"/>
      <c r="D1026" s="76"/>
    </row>
    <row r="1027" spans="1:7" x14ac:dyDescent="0.3">
      <c r="A1027" t="s">
        <v>1232</v>
      </c>
      <c r="C1027" s="34"/>
      <c r="E1027" s="33" t="s">
        <v>254</v>
      </c>
      <c r="F1027" s="33" t="s">
        <v>756</v>
      </c>
    </row>
    <row r="1028" spans="1:7" x14ac:dyDescent="0.3">
      <c r="B1028" s="29">
        <v>44464</v>
      </c>
      <c r="C1028" s="34" t="s">
        <v>1236</v>
      </c>
      <c r="D1028" s="25" t="s">
        <v>303</v>
      </c>
    </row>
    <row r="1029" spans="1:7" x14ac:dyDescent="0.3">
      <c r="B1029" s="29">
        <v>44464</v>
      </c>
      <c r="C1029" s="34" t="s">
        <v>1239</v>
      </c>
      <c r="D1029" s="25" t="s">
        <v>381</v>
      </c>
      <c r="G1029" t="s">
        <v>1240</v>
      </c>
    </row>
    <row r="1030" spans="1:7" x14ac:dyDescent="0.3">
      <c r="B1030" s="29" t="s">
        <v>422</v>
      </c>
      <c r="C1030" t="s">
        <v>266</v>
      </c>
      <c r="D1030" s="25" t="s">
        <v>840</v>
      </c>
    </row>
    <row r="1031" spans="1:7" x14ac:dyDescent="0.3">
      <c r="B1031" s="29">
        <v>44473</v>
      </c>
      <c r="C1031" s="34" t="s">
        <v>311</v>
      </c>
      <c r="D1031" s="25" t="s">
        <v>1234</v>
      </c>
    </row>
    <row r="1032" spans="1:7" x14ac:dyDescent="0.3">
      <c r="B1032" s="29">
        <v>44485</v>
      </c>
      <c r="C1032" s="34" t="s">
        <v>1235</v>
      </c>
      <c r="D1032" s="25" t="s">
        <v>897</v>
      </c>
    </row>
    <row r="1033" spans="1:7" x14ac:dyDescent="0.3">
      <c r="B1033" s="29">
        <v>44492</v>
      </c>
      <c r="C1033" s="34" t="s">
        <v>1236</v>
      </c>
      <c r="D1033" s="25" t="s">
        <v>554</v>
      </c>
      <c r="G1033" s="34" t="s">
        <v>1143</v>
      </c>
    </row>
    <row r="1034" spans="1:7" x14ac:dyDescent="0.3">
      <c r="B1034" s="29">
        <v>44499</v>
      </c>
      <c r="C1034" s="34" t="s">
        <v>1241</v>
      </c>
      <c r="D1034" s="25" t="s">
        <v>417</v>
      </c>
    </row>
    <row r="1035" spans="1:7" x14ac:dyDescent="0.3">
      <c r="B1035" s="29">
        <v>44499</v>
      </c>
      <c r="C1035" s="34" t="s">
        <v>1242</v>
      </c>
      <c r="D1035" s="25" t="s">
        <v>395</v>
      </c>
    </row>
    <row r="1036" spans="1:7" x14ac:dyDescent="0.3">
      <c r="B1036" s="29">
        <v>44513</v>
      </c>
      <c r="C1036" s="34" t="s">
        <v>1264</v>
      </c>
      <c r="D1036" s="25" t="s">
        <v>423</v>
      </c>
    </row>
    <row r="1037" spans="1:7" x14ac:dyDescent="0.3">
      <c r="B1037" s="29">
        <v>44520</v>
      </c>
      <c r="C1037" t="s">
        <v>1210</v>
      </c>
      <c r="D1037" s="25" t="s">
        <v>303</v>
      </c>
    </row>
    <row r="1038" spans="1:7" x14ac:dyDescent="0.3">
      <c r="B1038" s="29">
        <v>44525</v>
      </c>
      <c r="C1038" s="34" t="s">
        <v>1238</v>
      </c>
      <c r="D1038" s="25" t="s">
        <v>1237</v>
      </c>
    </row>
    <row r="1039" spans="1:7" x14ac:dyDescent="0.3">
      <c r="A1039" t="s">
        <v>1245</v>
      </c>
      <c r="E1039" s="33" t="s">
        <v>324</v>
      </c>
      <c r="F1039" s="33" t="s">
        <v>581</v>
      </c>
    </row>
    <row r="1040" spans="1:7" x14ac:dyDescent="0.3">
      <c r="B1040" s="29">
        <v>44471</v>
      </c>
      <c r="C1040" t="s">
        <v>1246</v>
      </c>
      <c r="D1040" s="25" t="s">
        <v>1247</v>
      </c>
    </row>
    <row r="1041" spans="1:6" x14ac:dyDescent="0.3">
      <c r="B1041" s="29" t="s">
        <v>603</v>
      </c>
      <c r="C1041" t="s">
        <v>322</v>
      </c>
      <c r="D1041" s="25" t="s">
        <v>428</v>
      </c>
    </row>
    <row r="1042" spans="1:6" x14ac:dyDescent="0.3">
      <c r="B1042" s="29">
        <v>44485</v>
      </c>
      <c r="C1042" t="s">
        <v>1248</v>
      </c>
      <c r="D1042" s="25" t="s">
        <v>417</v>
      </c>
    </row>
    <row r="1043" spans="1:6" x14ac:dyDescent="0.3">
      <c r="B1043" s="29">
        <v>44492</v>
      </c>
      <c r="C1043" t="s">
        <v>1249</v>
      </c>
      <c r="D1043" s="25" t="s">
        <v>693</v>
      </c>
    </row>
    <row r="1044" spans="1:6" x14ac:dyDescent="0.3">
      <c r="B1044" s="29">
        <v>44506</v>
      </c>
      <c r="C1044" t="s">
        <v>1250</v>
      </c>
      <c r="D1044" s="25" t="s">
        <v>417</v>
      </c>
    </row>
    <row r="1045" spans="1:6" x14ac:dyDescent="0.3">
      <c r="B1045" s="29">
        <v>44513</v>
      </c>
      <c r="C1045" t="s">
        <v>1251</v>
      </c>
      <c r="D1045" s="25" t="s">
        <v>298</v>
      </c>
    </row>
    <row r="1046" spans="1:6" x14ac:dyDescent="0.3">
      <c r="B1046" s="29">
        <v>44525</v>
      </c>
      <c r="C1046" t="s">
        <v>1252</v>
      </c>
      <c r="D1046" s="25" t="s">
        <v>417</v>
      </c>
    </row>
    <row r="1047" spans="1:6" x14ac:dyDescent="0.3">
      <c r="B1047" s="29">
        <v>44525</v>
      </c>
      <c r="C1047" t="s">
        <v>1253</v>
      </c>
      <c r="D1047" s="25" t="s">
        <v>417</v>
      </c>
    </row>
    <row r="1048" spans="1:6" x14ac:dyDescent="0.3">
      <c r="A1048" t="s">
        <v>1262</v>
      </c>
      <c r="E1048" s="33" t="s">
        <v>1014</v>
      </c>
      <c r="F1048" s="33" t="s">
        <v>1273</v>
      </c>
    </row>
    <row r="1049" spans="1:6" x14ac:dyDescent="0.3">
      <c r="B1049" s="29">
        <v>44464</v>
      </c>
      <c r="C1049" t="s">
        <v>1263</v>
      </c>
      <c r="D1049" s="25" t="s">
        <v>391</v>
      </c>
    </row>
    <row r="1050" spans="1:6" x14ac:dyDescent="0.3">
      <c r="B1050" s="29">
        <v>44471</v>
      </c>
      <c r="C1050" t="s">
        <v>1264</v>
      </c>
      <c r="D1050" s="25" t="s">
        <v>340</v>
      </c>
    </row>
    <row r="1051" spans="1:6" x14ac:dyDescent="0.3">
      <c r="B1051" s="29">
        <v>44478</v>
      </c>
      <c r="C1051" t="s">
        <v>1265</v>
      </c>
      <c r="D1051" s="25" t="s">
        <v>454</v>
      </c>
    </row>
    <row r="1052" spans="1:6" x14ac:dyDescent="0.3">
      <c r="B1052" s="29">
        <v>44485</v>
      </c>
      <c r="C1052" t="s">
        <v>51</v>
      </c>
      <c r="D1052" s="25" t="s">
        <v>578</v>
      </c>
    </row>
    <row r="1053" spans="1:6" x14ac:dyDescent="0.3">
      <c r="B1053" s="29" t="s">
        <v>278</v>
      </c>
      <c r="C1053" t="s">
        <v>266</v>
      </c>
      <c r="D1053" s="25" t="s">
        <v>1266</v>
      </c>
    </row>
    <row r="1054" spans="1:6" x14ac:dyDescent="0.3">
      <c r="B1054" s="29">
        <v>44497</v>
      </c>
      <c r="C1054" t="s">
        <v>1267</v>
      </c>
      <c r="D1054" s="25" t="s">
        <v>1268</v>
      </c>
    </row>
    <row r="1055" spans="1:6" x14ac:dyDescent="0.3">
      <c r="B1055" s="29">
        <v>44503</v>
      </c>
      <c r="C1055" t="s">
        <v>1269</v>
      </c>
      <c r="D1055" s="25" t="s">
        <v>731</v>
      </c>
    </row>
    <row r="1056" spans="1:6" x14ac:dyDescent="0.3">
      <c r="B1056" s="29">
        <v>44506</v>
      </c>
      <c r="C1056" t="s">
        <v>1270</v>
      </c>
      <c r="D1056" s="25" t="s">
        <v>452</v>
      </c>
    </row>
    <row r="1057" spans="1:6" x14ac:dyDescent="0.3">
      <c r="B1057" s="29">
        <v>44513</v>
      </c>
      <c r="C1057" t="s">
        <v>1271</v>
      </c>
      <c r="D1057" s="25" t="s">
        <v>802</v>
      </c>
    </row>
    <row r="1058" spans="1:6" x14ac:dyDescent="0.3">
      <c r="B1058" s="29">
        <v>44519</v>
      </c>
      <c r="C1058" t="s">
        <v>1272</v>
      </c>
      <c r="D1058" s="25" t="s">
        <v>770</v>
      </c>
    </row>
    <row r="1059" spans="1:6" x14ac:dyDescent="0.3">
      <c r="A1059" t="s">
        <v>1276</v>
      </c>
      <c r="E1059" s="33" t="s">
        <v>788</v>
      </c>
      <c r="F1059" s="33" t="s">
        <v>306</v>
      </c>
    </row>
    <row r="1060" spans="1:6" x14ac:dyDescent="0.3">
      <c r="B1060" s="29">
        <v>44464</v>
      </c>
      <c r="C1060" s="34" t="s">
        <v>1285</v>
      </c>
      <c r="D1060" s="25" t="s">
        <v>521</v>
      </c>
    </row>
    <row r="1061" spans="1:6" x14ac:dyDescent="0.3">
      <c r="B1061" s="29">
        <v>44471</v>
      </c>
      <c r="C1061" s="34" t="s">
        <v>288</v>
      </c>
      <c r="D1061" s="25" t="s">
        <v>428</v>
      </c>
    </row>
    <row r="1062" spans="1:6" x14ac:dyDescent="0.3">
      <c r="B1062" s="29">
        <v>44478</v>
      </c>
      <c r="C1062" s="34" t="s">
        <v>1277</v>
      </c>
      <c r="D1062" s="25" t="s">
        <v>1278</v>
      </c>
    </row>
    <row r="1063" spans="1:6" x14ac:dyDescent="0.3">
      <c r="B1063" s="29">
        <v>44485</v>
      </c>
      <c r="C1063" s="34" t="s">
        <v>1279</v>
      </c>
      <c r="D1063" s="25" t="s">
        <v>485</v>
      </c>
    </row>
    <row r="1064" spans="1:6" x14ac:dyDescent="0.3">
      <c r="B1064" s="29">
        <v>44492</v>
      </c>
      <c r="C1064" s="34" t="s">
        <v>1223</v>
      </c>
      <c r="D1064" s="25" t="s">
        <v>404</v>
      </c>
    </row>
    <row r="1065" spans="1:6" x14ac:dyDescent="0.3">
      <c r="B1065" s="29" t="s">
        <v>1280</v>
      </c>
      <c r="C1065" t="s">
        <v>266</v>
      </c>
      <c r="D1065" s="25" t="s">
        <v>680</v>
      </c>
    </row>
    <row r="1066" spans="1:6" x14ac:dyDescent="0.3">
      <c r="B1066" s="29">
        <v>44506</v>
      </c>
      <c r="C1066" t="s">
        <v>500</v>
      </c>
      <c r="D1066" s="25" t="s">
        <v>1281</v>
      </c>
    </row>
    <row r="1067" spans="1:6" x14ac:dyDescent="0.3">
      <c r="B1067" s="29">
        <v>44513</v>
      </c>
      <c r="C1067" s="34" t="s">
        <v>295</v>
      </c>
      <c r="D1067" s="25" t="s">
        <v>417</v>
      </c>
    </row>
    <row r="1068" spans="1:6" x14ac:dyDescent="0.3">
      <c r="B1068" s="29">
        <v>44520</v>
      </c>
      <c r="C1068" s="34" t="s">
        <v>1286</v>
      </c>
      <c r="D1068" s="25" t="s">
        <v>417</v>
      </c>
    </row>
    <row r="1069" spans="1:6" x14ac:dyDescent="0.3">
      <c r="B1069" s="29">
        <v>44525</v>
      </c>
      <c r="C1069" s="34" t="s">
        <v>1287</v>
      </c>
      <c r="D1069" s="25" t="s">
        <v>417</v>
      </c>
    </row>
    <row r="1070" spans="1:6" x14ac:dyDescent="0.3">
      <c r="A1070" t="s">
        <v>1290</v>
      </c>
      <c r="E1070" s="33" t="s">
        <v>594</v>
      </c>
      <c r="F1070" s="33" t="s">
        <v>571</v>
      </c>
    </row>
    <row r="1071" spans="1:6" x14ac:dyDescent="0.3">
      <c r="B1071" s="29">
        <v>44471</v>
      </c>
      <c r="C1071" t="s">
        <v>394</v>
      </c>
      <c r="D1071" s="25" t="s">
        <v>423</v>
      </c>
    </row>
    <row r="1072" spans="1:6" x14ac:dyDescent="0.3">
      <c r="B1072" s="29">
        <v>44478</v>
      </c>
      <c r="C1072" t="s">
        <v>922</v>
      </c>
      <c r="D1072" s="25" t="s">
        <v>357</v>
      </c>
    </row>
    <row r="1073" spans="1:7" x14ac:dyDescent="0.3">
      <c r="B1073" s="29">
        <v>44485</v>
      </c>
      <c r="C1073" t="s">
        <v>32</v>
      </c>
      <c r="D1073" s="25" t="s">
        <v>578</v>
      </c>
    </row>
    <row r="1074" spans="1:7" x14ac:dyDescent="0.3">
      <c r="B1074" s="29">
        <v>44491</v>
      </c>
      <c r="C1074" t="s">
        <v>1291</v>
      </c>
      <c r="D1074" s="25" t="s">
        <v>1292</v>
      </c>
    </row>
    <row r="1075" spans="1:7" x14ac:dyDescent="0.3">
      <c r="B1075" s="29">
        <v>44499</v>
      </c>
      <c r="C1075" t="s">
        <v>1212</v>
      </c>
      <c r="D1075" s="25" t="s">
        <v>1293</v>
      </c>
    </row>
    <row r="1076" spans="1:7" x14ac:dyDescent="0.3">
      <c r="B1076" s="29" t="s">
        <v>1294</v>
      </c>
      <c r="C1076" t="s">
        <v>291</v>
      </c>
      <c r="D1076" s="25" t="s">
        <v>1234</v>
      </c>
    </row>
    <row r="1077" spans="1:7" x14ac:dyDescent="0.3">
      <c r="B1077" s="29">
        <v>44513</v>
      </c>
      <c r="C1077" t="s">
        <v>1196</v>
      </c>
      <c r="D1077" s="25" t="s">
        <v>381</v>
      </c>
    </row>
    <row r="1078" spans="1:7" x14ac:dyDescent="0.3">
      <c r="B1078" s="29">
        <v>44525</v>
      </c>
      <c r="C1078" s="34" t="s">
        <v>347</v>
      </c>
      <c r="D1078" s="25" t="s">
        <v>417</v>
      </c>
      <c r="G1078" s="34" t="s">
        <v>1297</v>
      </c>
    </row>
    <row r="1079" spans="1:7" x14ac:dyDescent="0.3">
      <c r="A1079" t="s">
        <v>1301</v>
      </c>
      <c r="E1079" s="39" t="s">
        <v>699</v>
      </c>
      <c r="F1079" s="39" t="s">
        <v>581</v>
      </c>
    </row>
    <row r="1080" spans="1:7" x14ac:dyDescent="0.3">
      <c r="B1080" s="29" t="s">
        <v>276</v>
      </c>
      <c r="C1080" t="s">
        <v>1302</v>
      </c>
      <c r="D1080" s="25" t="s">
        <v>578</v>
      </c>
    </row>
    <row r="1081" spans="1:7" x14ac:dyDescent="0.3">
      <c r="B1081" s="29" t="s">
        <v>276</v>
      </c>
      <c r="C1081" t="s">
        <v>1303</v>
      </c>
      <c r="D1081" s="25" t="s">
        <v>655</v>
      </c>
    </row>
    <row r="1082" spans="1:7" x14ac:dyDescent="0.3">
      <c r="B1082" s="29">
        <v>44499</v>
      </c>
      <c r="C1082" t="s">
        <v>1304</v>
      </c>
      <c r="D1082" s="25" t="s">
        <v>436</v>
      </c>
    </row>
    <row r="1083" spans="1:7" x14ac:dyDescent="0.3">
      <c r="B1083" s="29">
        <v>44513</v>
      </c>
      <c r="C1083" t="s">
        <v>291</v>
      </c>
      <c r="D1083" s="25" t="s">
        <v>346</v>
      </c>
    </row>
    <row r="1084" spans="1:7" x14ac:dyDescent="0.3">
      <c r="B1084" s="29">
        <v>44519</v>
      </c>
      <c r="C1084" t="s">
        <v>1305</v>
      </c>
      <c r="D1084" s="4" t="s">
        <v>1306</v>
      </c>
    </row>
    <row r="1085" spans="1:7" x14ac:dyDescent="0.3">
      <c r="A1085" t="s">
        <v>1309</v>
      </c>
      <c r="E1085" s="33" t="s">
        <v>1318</v>
      </c>
      <c r="F1085" s="33" t="s">
        <v>1318</v>
      </c>
    </row>
    <row r="1086" spans="1:7" x14ac:dyDescent="0.3">
      <c r="B1086" s="29">
        <v>44471</v>
      </c>
      <c r="C1086" s="34" t="s">
        <v>314</v>
      </c>
      <c r="D1086" s="25" t="s">
        <v>471</v>
      </c>
      <c r="G1086" s="34" t="s">
        <v>1314</v>
      </c>
    </row>
    <row r="1087" spans="1:7" x14ac:dyDescent="0.3">
      <c r="B1087" s="29">
        <v>44473</v>
      </c>
      <c r="C1087" s="34" t="s">
        <v>316</v>
      </c>
      <c r="D1087" s="25" t="s">
        <v>1311</v>
      </c>
      <c r="G1087" s="34" t="s">
        <v>1314</v>
      </c>
    </row>
    <row r="1088" spans="1:7" x14ac:dyDescent="0.3">
      <c r="B1088" s="29">
        <v>44485</v>
      </c>
      <c r="C1088" s="34" t="s">
        <v>286</v>
      </c>
      <c r="D1088" s="25" t="s">
        <v>472</v>
      </c>
      <c r="G1088" s="34" t="s">
        <v>1314</v>
      </c>
    </row>
    <row r="1089" spans="1:8" x14ac:dyDescent="0.3">
      <c r="B1089" s="29">
        <v>44492</v>
      </c>
      <c r="C1089" s="34" t="s">
        <v>524</v>
      </c>
      <c r="D1089" s="25" t="s">
        <v>1247</v>
      </c>
      <c r="G1089" s="34" t="s">
        <v>1314</v>
      </c>
    </row>
    <row r="1090" spans="1:8" x14ac:dyDescent="0.3">
      <c r="B1090" s="29">
        <v>44494</v>
      </c>
      <c r="C1090" s="34" t="s">
        <v>1310</v>
      </c>
      <c r="D1090" s="25" t="s">
        <v>346</v>
      </c>
      <c r="G1090" s="34" t="s">
        <v>1316</v>
      </c>
      <c r="H1090" s="34" t="s">
        <v>1317</v>
      </c>
    </row>
    <row r="1091" spans="1:8" x14ac:dyDescent="0.3">
      <c r="B1091" s="29">
        <v>44505</v>
      </c>
      <c r="C1091" s="34" t="s">
        <v>86</v>
      </c>
      <c r="D1091" s="25" t="s">
        <v>346</v>
      </c>
      <c r="G1091" s="34" t="s">
        <v>1314</v>
      </c>
    </row>
    <row r="1092" spans="1:8" x14ac:dyDescent="0.3">
      <c r="B1092" s="29">
        <v>44513</v>
      </c>
      <c r="C1092" t="s">
        <v>732</v>
      </c>
      <c r="D1092" s="25" t="s">
        <v>417</v>
      </c>
      <c r="G1092" s="34" t="s">
        <v>1316</v>
      </c>
    </row>
    <row r="1093" spans="1:8" x14ac:dyDescent="0.3">
      <c r="B1093" s="29" t="s">
        <v>1312</v>
      </c>
      <c r="C1093" t="s">
        <v>266</v>
      </c>
      <c r="D1093" s="25" t="s">
        <v>417</v>
      </c>
      <c r="G1093" s="34" t="s">
        <v>1313</v>
      </c>
    </row>
    <row r="1094" spans="1:8" x14ac:dyDescent="0.3">
      <c r="B1094" s="29">
        <v>44525</v>
      </c>
      <c r="C1094" s="34" t="s">
        <v>1315</v>
      </c>
      <c r="D1094" s="25" t="s">
        <v>417</v>
      </c>
    </row>
    <row r="1095" spans="1:8" x14ac:dyDescent="0.3">
      <c r="A1095" t="s">
        <v>1323</v>
      </c>
      <c r="E1095" s="33" t="s">
        <v>390</v>
      </c>
      <c r="F1095" s="33" t="s">
        <v>632</v>
      </c>
    </row>
    <row r="1096" spans="1:8" x14ac:dyDescent="0.3">
      <c r="B1096" s="29">
        <v>44471</v>
      </c>
      <c r="C1096" t="s">
        <v>133</v>
      </c>
      <c r="D1096" s="25" t="s">
        <v>357</v>
      </c>
    </row>
    <row r="1097" spans="1:8" x14ac:dyDescent="0.3">
      <c r="B1097" s="29">
        <v>44482</v>
      </c>
      <c r="C1097" t="s">
        <v>482</v>
      </c>
      <c r="D1097" s="25" t="s">
        <v>300</v>
      </c>
    </row>
    <row r="1098" spans="1:8" x14ac:dyDescent="0.3">
      <c r="B1098" s="29">
        <v>44492</v>
      </c>
      <c r="C1098" t="s">
        <v>288</v>
      </c>
      <c r="D1098" s="25" t="s">
        <v>711</v>
      </c>
    </row>
    <row r="1099" spans="1:8" x14ac:dyDescent="0.3">
      <c r="B1099" s="29">
        <v>44499</v>
      </c>
      <c r="C1099" t="s">
        <v>640</v>
      </c>
      <c r="D1099" s="25" t="s">
        <v>1324</v>
      </c>
    </row>
    <row r="1100" spans="1:8" x14ac:dyDescent="0.3">
      <c r="B1100" s="29">
        <v>44506</v>
      </c>
      <c r="C1100" t="s">
        <v>778</v>
      </c>
      <c r="D1100" s="25" t="s">
        <v>457</v>
      </c>
    </row>
    <row r="1101" spans="1:8" x14ac:dyDescent="0.3">
      <c r="B1101" s="29">
        <v>44512</v>
      </c>
      <c r="C1101" t="s">
        <v>1200</v>
      </c>
      <c r="D1101" s="25" t="s">
        <v>1325</v>
      </c>
    </row>
    <row r="1102" spans="1:8" x14ac:dyDescent="0.3">
      <c r="B1102" s="29">
        <v>44520</v>
      </c>
      <c r="C1102" t="s">
        <v>316</v>
      </c>
      <c r="D1102" s="25" t="s">
        <v>303</v>
      </c>
    </row>
    <row r="1103" spans="1:8" x14ac:dyDescent="0.3">
      <c r="B1103" s="29" t="s">
        <v>1326</v>
      </c>
      <c r="C1103" t="s">
        <v>322</v>
      </c>
      <c r="D1103" s="25" t="s">
        <v>715</v>
      </c>
    </row>
    <row r="1105" spans="1:6" x14ac:dyDescent="0.3">
      <c r="A1105" s="76">
        <v>1910</v>
      </c>
      <c r="B1105" s="76"/>
      <c r="C1105" s="76"/>
      <c r="D1105" s="76"/>
    </row>
    <row r="1106" spans="1:6" x14ac:dyDescent="0.3">
      <c r="A1106" t="s">
        <v>1329</v>
      </c>
      <c r="E1106" s="33" t="s">
        <v>563</v>
      </c>
      <c r="F1106" s="33" t="s">
        <v>738</v>
      </c>
    </row>
    <row r="1107" spans="1:6" x14ac:dyDescent="0.3">
      <c r="B1107" s="29">
        <v>44463</v>
      </c>
      <c r="C1107" s="34" t="s">
        <v>1344</v>
      </c>
      <c r="D1107" s="25" t="s">
        <v>417</v>
      </c>
    </row>
    <row r="1108" spans="1:6" x14ac:dyDescent="0.3">
      <c r="B1108" s="29">
        <v>44463</v>
      </c>
      <c r="C1108" s="34" t="s">
        <v>1346</v>
      </c>
      <c r="D1108" s="25" t="s">
        <v>417</v>
      </c>
    </row>
    <row r="1109" spans="1:6" x14ac:dyDescent="0.3">
      <c r="B1109" s="29">
        <v>44470</v>
      </c>
      <c r="C1109" t="s">
        <v>1343</v>
      </c>
      <c r="D1109" s="25" t="s">
        <v>546</v>
      </c>
    </row>
    <row r="1110" spans="1:6" x14ac:dyDescent="0.3">
      <c r="B1110" s="29">
        <v>44474</v>
      </c>
      <c r="C1110" s="34" t="s">
        <v>1345</v>
      </c>
      <c r="D1110" s="25" t="s">
        <v>575</v>
      </c>
    </row>
    <row r="1111" spans="1:6" x14ac:dyDescent="0.3">
      <c r="B1111" s="29" t="s">
        <v>762</v>
      </c>
      <c r="C1111" t="s">
        <v>266</v>
      </c>
      <c r="D1111" s="25" t="s">
        <v>371</v>
      </c>
    </row>
    <row r="1112" spans="1:6" x14ac:dyDescent="0.3">
      <c r="B1112" s="29">
        <v>44484</v>
      </c>
      <c r="C1112" t="s">
        <v>175</v>
      </c>
      <c r="D1112" s="25" t="s">
        <v>711</v>
      </c>
    </row>
    <row r="1113" spans="1:6" x14ac:dyDescent="0.3">
      <c r="B1113" s="29">
        <v>44491</v>
      </c>
      <c r="C1113" t="s">
        <v>1330</v>
      </c>
      <c r="D1113" s="25" t="s">
        <v>472</v>
      </c>
    </row>
    <row r="1114" spans="1:6" x14ac:dyDescent="0.3">
      <c r="B1114" s="29">
        <v>44498</v>
      </c>
      <c r="C1114" t="s">
        <v>65</v>
      </c>
      <c r="D1114" s="25" t="s">
        <v>333</v>
      </c>
    </row>
    <row r="1115" spans="1:6" x14ac:dyDescent="0.3">
      <c r="B1115" s="29">
        <v>44512</v>
      </c>
      <c r="C1115" t="s">
        <v>181</v>
      </c>
      <c r="D1115" s="25" t="s">
        <v>457</v>
      </c>
    </row>
    <row r="1116" spans="1:6" x14ac:dyDescent="0.3">
      <c r="B1116" s="29">
        <v>44519</v>
      </c>
      <c r="C1116" t="s">
        <v>93</v>
      </c>
      <c r="D1116" s="25" t="s">
        <v>1340</v>
      </c>
    </row>
    <row r="1117" spans="1:6" x14ac:dyDescent="0.3">
      <c r="B1117" s="29">
        <v>44524</v>
      </c>
      <c r="C1117" t="s">
        <v>1341</v>
      </c>
      <c r="D1117" s="25" t="s">
        <v>1342</v>
      </c>
    </row>
  </sheetData>
  <mergeCells count="21">
    <mergeCell ref="A1105:D1105"/>
    <mergeCell ref="A1026:D1026"/>
    <mergeCell ref="A939:D939"/>
    <mergeCell ref="A760:D760"/>
    <mergeCell ref="A359:D359"/>
    <mergeCell ref="A868:D868"/>
    <mergeCell ref="A412:D412"/>
    <mergeCell ref="A507:D507"/>
    <mergeCell ref="A3:D3"/>
    <mergeCell ref="A7:D7"/>
    <mergeCell ref="B11:D11"/>
    <mergeCell ref="A120:D120"/>
    <mergeCell ref="A130:D130"/>
    <mergeCell ref="A24:D24"/>
    <mergeCell ref="A57:D57"/>
    <mergeCell ref="A86:D86"/>
    <mergeCell ref="A185:D185"/>
    <mergeCell ref="A251:D251"/>
    <mergeCell ref="A592:D592"/>
    <mergeCell ref="A689:D689"/>
    <mergeCell ref="A160:D160"/>
  </mergeCells>
  <conditionalFormatting sqref="D1:D1104 D1106:D1048576">
    <cfRule type="containsText" dxfId="1" priority="6" operator="containsText" text="canceled">
      <formula>NOT(ISERROR(SEARCH("canceled",D1)))</formula>
    </cfRule>
  </conditionalFormatting>
  <conditionalFormatting sqref="D1105">
    <cfRule type="containsText" dxfId="0" priority="5" operator="containsText" text="canceled">
      <formula>NOT(ISERROR(SEARCH("canceled",D1105)))</formula>
    </cfRule>
  </conditionalFormatting>
  <hyperlinks>
    <hyperlink ref="C28" r:id="rId1" xr:uid="{FBDC611B-A01F-4899-8F6B-DCAF64691448}"/>
    <hyperlink ref="D43" r:id="rId2" display="L ??" xr:uid="{C6E7F23B-6ABA-4102-A1D2-A4E3834927D7}"/>
    <hyperlink ref="D42" r:id="rId3" xr:uid="{764A7B93-2519-4F3D-870F-DE69D776AE73}"/>
    <hyperlink ref="C40" r:id="rId4" xr:uid="{AD79651B-1B79-46E5-89AB-0BE270D409DD}"/>
    <hyperlink ref="D48" r:id="rId5" display="L ??" xr:uid="{0864B6A2-E9AB-49C6-BC36-74BD2FFC14F8}"/>
    <hyperlink ref="D47" r:id="rId6" xr:uid="{0C5F23F9-90D4-4592-8073-8FEA9B71B025}"/>
    <hyperlink ref="C52" r:id="rId7" xr:uid="{AF5C4684-408E-4A20-B70B-2CADBFE907E2}"/>
    <hyperlink ref="C53" r:id="rId8" xr:uid="{1A999C8E-1958-40BC-8D7A-237D96FF7F99}"/>
    <hyperlink ref="C54" r:id="rId9" xr:uid="{015B5AAB-103B-42A5-A513-0B5F597C1DA6}"/>
    <hyperlink ref="G78" r:id="rId10" xr:uid="{3644F7A2-F87A-4401-AEDD-76C6D7CA7E34}"/>
    <hyperlink ref="C117" r:id="rId11" xr:uid="{C4E62BCA-ECDB-4D63-B859-09694D6A63F8}"/>
    <hyperlink ref="C172" r:id="rId12" xr:uid="{4A4E6110-208D-4694-ADB1-C3D48956DDF7}"/>
    <hyperlink ref="C174" r:id="rId13" xr:uid="{E16514E6-2A67-4EC9-AFF6-F5B56698177D}"/>
    <hyperlink ref="G200" r:id="rId14" location="?c=0&amp;m=0&amp;s=0&amp;cv=27&amp;r=0&amp;xywh=-12%2C420%2C1797%2C1092" xr:uid="{5C9849E2-61E2-40AF-A5FB-8AD35FEFC8FD}"/>
    <hyperlink ref="D200" r:id="rId15" xr:uid="{11D8A44B-02D7-408E-B8CA-E5649C3C5A48}"/>
    <hyperlink ref="C223" r:id="rId16" xr:uid="{3BF28A78-B914-4E60-9732-871E835F2A05}"/>
    <hyperlink ref="G223" r:id="rId17" xr:uid="{27871252-71C8-4C2E-A340-558F6F5F4D32}"/>
    <hyperlink ref="G231" r:id="rId18" xr:uid="{8BE2E4B1-958A-47A7-B2AC-690D8C05B1E5}"/>
    <hyperlink ref="D247" r:id="rId19" xr:uid="{BD32DC26-D602-4EF1-9C1D-47EAC2BBC9DC}"/>
    <hyperlink ref="G249" r:id="rId20" xr:uid="{22B090E8-D245-48B8-83AE-87DD4648FB62}"/>
    <hyperlink ref="D256" r:id="rId21" xr:uid="{0E0CE5E0-00BB-4879-85FB-191277ED2158}"/>
    <hyperlink ref="C281" r:id="rId22" xr:uid="{DCBD8A46-A866-4C2A-9614-75676372CD8F}"/>
    <hyperlink ref="C283" r:id="rId23" display="vs Davidson (Winston-Salem)" xr:uid="{ABA8E2F5-39C7-43AC-A4BF-E46A4581C6A3}"/>
    <hyperlink ref="C284" r:id="rId24" display="Chapel Hill High School" xr:uid="{40B34439-446C-42CE-A885-07DD4EC6ED68}"/>
    <hyperlink ref="C285" r:id="rId25" display="Madison" xr:uid="{8E4AEE36-B672-4258-BBEB-5BA22E96A0CB}"/>
    <hyperlink ref="G285" r:id="rId26" xr:uid="{259563F9-F513-48E5-A642-163C82C8EF37}"/>
    <hyperlink ref="C287" r:id="rId27" xr:uid="{D0200420-21D8-4925-AD11-B4075EB81A91}"/>
    <hyperlink ref="C286" r:id="rId28" xr:uid="{799D3494-5D3E-42D7-A180-2BC4B4BEB8D7}"/>
    <hyperlink ref="C341" r:id="rId29" xr:uid="{E08ED960-8792-4E68-9357-497E6F6E96C3}"/>
    <hyperlink ref="C343" r:id="rId30" display="vs Davidson (Winston-Salem)" xr:uid="{C6C87680-D55C-4B1D-95E3-1C79162EF351}"/>
    <hyperlink ref="C344" r:id="rId31" display="Chapel Hill High School" xr:uid="{D57078ED-2245-4850-98DF-AF4BC0021E1E}"/>
    <hyperlink ref="C345" r:id="rId32" display="Madison" xr:uid="{1BD8256B-789C-490B-9B0D-8A712472D11B}"/>
    <hyperlink ref="G345" r:id="rId33" xr:uid="{0CCBC9E2-DCF7-43D4-8609-9EB117E80147}"/>
    <hyperlink ref="C347" r:id="rId34" xr:uid="{474C9346-D00E-4E42-AFF6-12A75F2D9ED6}"/>
    <hyperlink ref="C346" r:id="rId35" xr:uid="{45C80C2A-97CA-4968-B0E7-F238F2B359BD}"/>
    <hyperlink ref="C371" r:id="rId36" xr:uid="{C4CAB7D0-B834-4692-9DBE-ACD941BA581D}"/>
    <hyperlink ref="C372" r:id="rId37" display="?? William Bingham School" xr:uid="{D986C290-E18E-4CE0-BE70-D6D816838802}"/>
    <hyperlink ref="C529" r:id="rId38" xr:uid="{24101684-8C21-475E-81B8-E482705CA1B7}"/>
    <hyperlink ref="C575" r:id="rId39" xr:uid="{85B34657-F11C-4CE7-93F5-BC7726ABA752}"/>
    <hyperlink ref="C576" r:id="rId40" xr:uid="{A27F914B-C61E-44EE-8F27-6CB8D240D714}"/>
    <hyperlink ref="C577" r:id="rId41" xr:uid="{3C773E77-6550-4019-BF9E-DEE54DDF2303}"/>
    <hyperlink ref="C578" r:id="rId42" xr:uid="{D51EB719-0497-41D2-BCB5-48CFD769A7CE}"/>
    <hyperlink ref="C579" r:id="rId43" xr:uid="{C019D5E6-52F1-483F-9BC9-65A23F1F7B47}"/>
    <hyperlink ref="C580" r:id="rId44" xr:uid="{B781FF8F-6BC5-4279-92C6-9BA71293D79D}"/>
    <hyperlink ref="C581" r:id="rId45" xr:uid="{810E43A2-C07D-428B-B3DD-F6C335D9B10E}"/>
    <hyperlink ref="C582" r:id="rId46" xr:uid="{B1B3D3B7-5316-4FCF-B8F7-7378E83E8695}"/>
    <hyperlink ref="C584" r:id="rId47" xr:uid="{2C4C5903-FDBC-456C-A39C-F21AC31B1D86}"/>
    <hyperlink ref="C586" r:id="rId48" xr:uid="{4936C4D9-E722-4ACE-8F07-347E9EFAC916}"/>
    <hyperlink ref="C590" r:id="rId49" xr:uid="{2BA711AD-46E2-4166-832F-6A19E458E437}"/>
    <hyperlink ref="C740" r:id="rId50" xr:uid="{4391115C-508D-4A4F-8BC5-C3433A271DD7}"/>
    <hyperlink ref="C806" r:id="rId51" xr:uid="{001F0A78-A2DD-4458-AC7E-15A0384ADA89}"/>
    <hyperlink ref="C807" r:id="rId52" xr:uid="{6C026598-34A2-4F97-8486-D4D0EC393DE9}"/>
    <hyperlink ref="C822" r:id="rId53" xr:uid="{29695044-8F58-48EA-AA23-B43D31C00FED}"/>
    <hyperlink ref="C823" r:id="rId54" xr:uid="{67E6DF67-482A-40BA-94D6-6EAA76E2BF86}"/>
    <hyperlink ref="C851" r:id="rId55" xr:uid="{107209DC-61E5-4303-94D7-2A741EF47434}"/>
    <hyperlink ref="C926" r:id="rId56" xr:uid="{6FD9DBAD-1BE1-4082-8E65-635A81607A63}"/>
    <hyperlink ref="D926" r:id="rId57" display="canceled?" xr:uid="{DFEE1F1C-908A-429E-82C2-882C49A5E72D}"/>
    <hyperlink ref="C951" r:id="rId58" xr:uid="{71698954-9DDA-4354-AE5F-D1137BE96B84}"/>
    <hyperlink ref="C952" r:id="rId59" xr:uid="{2D511136-1C24-4D95-91D8-048FC236798D}"/>
    <hyperlink ref="C953" r:id="rId60" display="vs Hampden-Sidney" xr:uid="{7307F8E3-9D11-4D76-BF2B-C4A9940F50A8}"/>
    <hyperlink ref="C954" r:id="rId61" xr:uid="{665B2EE5-9B6E-4BC8-95C5-FF74EE53D7CC}"/>
    <hyperlink ref="C958" r:id="rId62" xr:uid="{959B0751-78B7-4B78-B902-41E877D7CD1F}"/>
    <hyperlink ref="G958" r:id="rId63" xr:uid="{F5C31416-7C83-493E-8E28-5172ABBE1F1C}"/>
    <hyperlink ref="H958" r:id="rId64" xr:uid="{58106F1C-DDBE-41C7-B85E-E88A6EC2A998}"/>
    <hyperlink ref="C989" r:id="rId65" display="NC Deaf and Dumb Institute" xr:uid="{4A2FA9D9-A328-4A1C-814B-42C0327326B4}"/>
    <hyperlink ref="C990" r:id="rId66" xr:uid="{9DE4E019-163F-47A3-B613-BDA3B7ABB602}"/>
    <hyperlink ref="C991" r:id="rId67" xr:uid="{68789E5E-F378-41AA-9B2B-97081FE8C5DB}"/>
    <hyperlink ref="C992" r:id="rId68" xr:uid="{7B600F37-ED57-4E03-BDF4-18838D211E7E}"/>
    <hyperlink ref="C993" r:id="rId69" display="at Clemson" xr:uid="{7E2F8DC6-474B-45A3-9A07-B4253B6D99E4}"/>
    <hyperlink ref="G993" r:id="rId70" location="?c=0&amp;m=0&amp;s=0&amp;cv=209&amp;r=0&amp;xywh=124%2C1539%2C1918%2C1165" xr:uid="{43BBCD1A-6820-4FC6-B60C-1F5CA38067C8}"/>
    <hyperlink ref="H993" r:id="rId71" xr:uid="{6439E00E-6773-4807-BEE3-DB59F79AAC37}"/>
    <hyperlink ref="I993" r:id="rId72" xr:uid="{1F414738-D95C-4E12-B831-6700F2B36277}"/>
    <hyperlink ref="C994" r:id="rId73" xr:uid="{672C4397-388B-414C-9E21-82A7082BA00A}"/>
    <hyperlink ref="C996" r:id="rId74" display="vs Wake Forest (Charlotte)" xr:uid="{F5AB03F8-7C85-433A-8ED9-968D30E3AEF7}"/>
    <hyperlink ref="G997" r:id="rId75" location="?c=0&amp;m=0&amp;s=0&amp;cv=209&amp;r=0&amp;xywh=400%2C1807%2C1507%2C916" xr:uid="{88CF8D99-7CB4-42F8-822E-9FE6FB5FFDF2}"/>
    <hyperlink ref="H997" r:id="rId76" xr:uid="{99B0C3FC-99E6-479E-8AE8-D40048E1A635}"/>
    <hyperlink ref="C997" r:id="rId77" xr:uid="{68472353-F962-4534-900B-7084F14887F5}"/>
    <hyperlink ref="I997" r:id="rId78" xr:uid="{793B89E8-B08A-46FC-9DED-833DC256CA64}"/>
    <hyperlink ref="A998" r:id="rId79" xr:uid="{FB3E4538-D477-4903-8436-DFC81913D385}"/>
    <hyperlink ref="B1002" r:id="rId80" display="https://www.lostcolleges.com/eastern-college" xr:uid="{4FDA642E-73F6-42DB-B169-D7E142F152B7}"/>
    <hyperlink ref="C1032" r:id="rId81" xr:uid="{1A1B8D8F-F2E8-4800-89A2-147721FB0FC2}"/>
    <hyperlink ref="C1034" r:id="rId82" display="Grant University" xr:uid="{2B547570-0E47-4B17-B3E4-0142181BA5E9}"/>
    <hyperlink ref="C1036" r:id="rId83" display="Berea College" xr:uid="{ADD20EF4-985B-4AF2-9BA3-09E28E81A0CB}"/>
    <hyperlink ref="C1029" r:id="rId84" xr:uid="{21E73691-B0B8-4BDD-8CF2-14D568676846}"/>
    <hyperlink ref="C1031" r:id="rId85" xr:uid="{68E8884E-DAF0-4F74-A5DA-57A0250570CA}"/>
    <hyperlink ref="C1033" r:id="rId86" xr:uid="{D2B4EC45-536B-4843-9D2D-8F8E5883B430}"/>
    <hyperlink ref="G1033" r:id="rId87" xr:uid="{6A4D3E01-2CFE-4F75-91CB-F467EF442FF4}"/>
    <hyperlink ref="C1035" r:id="rId88" xr:uid="{5F16ED3B-D774-4940-8FF4-6794BDF6AA59}"/>
    <hyperlink ref="C1038" r:id="rId89" xr:uid="{641822CF-0461-4A8F-9E8D-680BCF81A034}"/>
    <hyperlink ref="C1028" r:id="rId90" xr:uid="{1B6F9B1A-2D8E-481B-B85A-03A7197F91B6}"/>
    <hyperlink ref="C1060" r:id="rId91" display="Technical Highschool of Washington, DC [Friendship Armstrong Academy]" xr:uid="{D15F6089-85F1-495B-9A5E-1037424A6F10}"/>
    <hyperlink ref="C1061" r:id="rId92" xr:uid="{0B98765C-80FD-47CF-ADFB-D8C01E4C9834}"/>
    <hyperlink ref="C1062" r:id="rId93" xr:uid="{D01FF80B-AAC9-4197-82C4-0492ADD17708}"/>
    <hyperlink ref="C1063" r:id="rId94" xr:uid="{703DF33F-B10B-4C62-B799-9757FBAF0B70}"/>
    <hyperlink ref="C1064" r:id="rId95" xr:uid="{6B7244B1-3E88-46E1-A038-B06F9A30A87D}"/>
    <hyperlink ref="C1067" r:id="rId96" xr:uid="{63192358-E54D-4A7E-B7E7-2054A10F18F7}"/>
    <hyperlink ref="C1068" r:id="rId97" xr:uid="{CCA6CE6C-E920-4A76-B5D2-D8083C0A5770}"/>
    <hyperlink ref="C1069" r:id="rId98" xr:uid="{A1FA7F47-F0B2-45B2-B0BC-2DC97D84F76A}"/>
    <hyperlink ref="C1078" r:id="rId99" xr:uid="{6B7F9A73-1E14-40AB-8684-E46224CEF618}"/>
    <hyperlink ref="G1078" r:id="rId100" xr:uid="{1A58BF7E-AD87-440A-B574-4277B0D443D2}"/>
    <hyperlink ref="G1093" r:id="rId101" xr:uid="{836F29A4-EAC6-4392-B8B8-524341DA7CA3}"/>
    <hyperlink ref="G1086" r:id="rId102" xr:uid="{FB97B937-64CE-4181-AF86-17113C62CA32}"/>
    <hyperlink ref="G1087" r:id="rId103" xr:uid="{5A369639-221B-4905-B800-6325A80305CD}"/>
    <hyperlink ref="G1088" r:id="rId104" xr:uid="{4CC4BCCB-60F3-426B-B869-5E724E068A50}"/>
    <hyperlink ref="G1089" r:id="rId105" xr:uid="{39F757DC-A22E-45F4-B661-03236EEAA3D7}"/>
    <hyperlink ref="G1091" r:id="rId106" xr:uid="{8FE2A2AB-063B-4ED1-BF10-E90C9D695C36}"/>
    <hyperlink ref="C1094" r:id="rId107" xr:uid="{C7CC933E-0E0D-4142-83E4-E8C37032895C}"/>
    <hyperlink ref="C1086" r:id="rId108" xr:uid="{C52C7E47-BEA3-4B53-9A41-F18527177850}"/>
    <hyperlink ref="C1087" r:id="rId109" xr:uid="{75873DF1-687B-43B6-B0AC-2F169C3F8C2D}"/>
    <hyperlink ref="G1090" r:id="rId110" xr:uid="{000917DB-F2EB-4FC7-9382-34C4E90302AF}"/>
    <hyperlink ref="G1092" r:id="rId111" xr:uid="{538BABE0-9D48-4F32-9F85-18F1A5FFA95A}"/>
    <hyperlink ref="C1088" r:id="rId112" xr:uid="{07728F54-6612-4B4D-925E-5D2B0415A918}"/>
    <hyperlink ref="H1090" r:id="rId113" xr:uid="{D3A55936-B1AF-4F5D-85BB-5D4E50E38DA6}"/>
    <hyperlink ref="C1089" r:id="rId114" xr:uid="{CAFE84F1-3AA9-47F8-A758-A1ECAD01F8FA}"/>
    <hyperlink ref="C1090" r:id="rId115" xr:uid="{E55C43EA-D0DB-44F3-98D8-5DAD45B27F5F}"/>
    <hyperlink ref="C1091" r:id="rId116" xr:uid="{8F23A211-94B1-43E4-826F-92C965782A5A}"/>
    <hyperlink ref="C1107" r:id="rId117" xr:uid="{5EE0DB66-5995-4B59-AEB2-005E0DB52108}"/>
    <hyperlink ref="C1110" r:id="rId118" xr:uid="{4DFDB492-81E1-4807-A74A-18B52BF5F883}"/>
  </hyperlinks>
  <pageMargins left="0.7" right="0.7" top="0.75" bottom="0.75" header="0.3" footer="0.3"/>
  <pageSetup orientation="portrait" r:id="rId11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NC State</vt:lpstr>
      <vt:lpstr>Opp 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Carter Claiborne</dc:creator>
  <cp:lastModifiedBy>Carter Claiborne</cp:lastModifiedBy>
  <dcterms:created xsi:type="dcterms:W3CDTF">2020-11-15T15:11:27Z</dcterms:created>
  <dcterms:modified xsi:type="dcterms:W3CDTF">2021-06-23T04:01:20Z</dcterms:modified>
</cp:coreProperties>
</file>